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7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0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1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8.xml" ContentType="application/vnd.openxmlformats-officedocument.drawing+xml"/>
  <Override PartName="/xl/charts/chart32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3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4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5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6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7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8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9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9.xml" ContentType="application/vnd.openxmlformats-officedocument.drawing+xml"/>
  <Override PartName="/xl/charts/chart40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1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2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3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10.xml" ContentType="application/vnd.openxmlformats-officedocument.drawing+xml"/>
  <Override PartName="/xl/charts/chart44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5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6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7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8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9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11.xml" ContentType="application/vnd.openxmlformats-officedocument.drawing+xml"/>
  <Override PartName="/xl/charts/chart50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1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2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3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4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5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6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7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8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9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60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1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drawings/drawing12.xml" ContentType="application/vnd.openxmlformats-officedocument.drawing+xml"/>
  <Override PartName="/xl/charts/chart62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3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4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5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6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7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8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9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drawings/drawing13.xml" ContentType="application/vnd.openxmlformats-officedocument.drawing+xml"/>
  <Override PartName="/xl/charts/chart70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1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2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3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4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5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6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7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ustomProperty1.bin" ContentType="application/vnd.openxmlformats-officedocument.spreadsheetml.customProperty"/>
  <Override PartName="/xl/drawings/drawing14.xml" ContentType="application/vnd.openxmlformats-officedocument.drawing+xml"/>
  <Override PartName="/xl/charts/chart78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9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80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1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2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3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4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5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6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7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8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9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90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drawings/drawing15.xml" ContentType="application/vnd.openxmlformats-officedocument.drawing+xml"/>
  <Override PartName="/xl/charts/chart91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2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3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4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5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6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7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8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9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100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1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2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3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drawings/drawing16.xml" ContentType="application/vnd.openxmlformats-officedocument.drawing+xml"/>
  <Override PartName="/xl/charts/chart104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5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6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7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drawings/drawing17.xml" ContentType="application/vnd.openxmlformats-officedocument.drawing+xml"/>
  <Override PartName="/xl/charts/chart108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9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charts/chart110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1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drawings/drawing18.xml" ContentType="application/vnd.openxmlformats-officedocument.drawing+xml"/>
  <Override PartName="/xl/charts/chart112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3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charts/chart114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15_PPA_Report\05. Report\2026\4. Audit Jumper 2026\PP Automation\"/>
    </mc:Choice>
  </mc:AlternateContent>
  <xr:revisionPtr revIDLastSave="0" documentId="8_{05AB26BF-2503-4936-81CC-07460D92CD64}" xr6:coauthVersionLast="47" xr6:coauthVersionMax="47" xr10:uidLastSave="{00000000-0000-0000-0000-000000000000}"/>
  <bookViews>
    <workbookView xWindow="-108" yWindow="-108" windowWidth="23256" windowHeight="12456" firstSheet="14" activeTab="14" xr2:uid="{7D862567-165F-4C04-9CF0-88AD7F5022DA}"/>
  </bookViews>
  <sheets>
    <sheet name="Forces (wkly) new" sheetId="18" state="hidden" r:id="rId1"/>
    <sheet name="AFI (wkly)" sheetId="11" state="hidden" r:id="rId2"/>
    <sheet name="TES1" sheetId="13" state="hidden" r:id="rId3"/>
    <sheet name="Forces (wkly)" sheetId="10" state="hidden" r:id="rId4"/>
    <sheet name="Sheet1" sheetId="12" state="hidden" r:id="rId5"/>
    <sheet name="Short Branches (wkly)" sheetId="7" state="hidden" r:id="rId6"/>
    <sheet name="Short Branches (mthly)" sheetId="3" state="hidden" r:id="rId7"/>
    <sheet name="2025 Plan Shortbranches wkly" sheetId="21" state="hidden" r:id="rId8"/>
    <sheet name="2025 Plan forces wkly" sheetId="22" state="hidden" r:id="rId9"/>
    <sheet name="2023-2024 Shortbranches" sheetId="15" state="hidden" r:id="rId10"/>
    <sheet name="2025 Plan AFI's wkly" sheetId="19" state="hidden" r:id="rId11"/>
    <sheet name="2025 Plan AFI's" sheetId="16" state="hidden" r:id="rId12"/>
    <sheet name="2025 Plan Shortbranches " sheetId="17" state="hidden" r:id="rId13"/>
    <sheet name="2025 plan Forces" sheetId="14" state="hidden" r:id="rId14"/>
    <sheet name="Weekly Jumper" sheetId="24" r:id="rId15"/>
    <sheet name="Performance 2024-2025" sheetId="23" state="hidden" r:id="rId16"/>
    <sheet name="AFI (mthly)" sheetId="5" state="hidden" r:id="rId17"/>
    <sheet name="Forces (mthly)" sheetId="4" state="hidden" r:id="rId18"/>
    <sheet name="PP update All Area (New chart)" sheetId="2" state="hidden" r:id="rId19"/>
  </sheets>
  <externalReferences>
    <externalReference r:id="rId20"/>
    <externalReference r:id="rId21"/>
  </externalReferences>
  <definedNames>
    <definedName name="CABLE_LENGTH" localSheetId="9">#REF!</definedName>
    <definedName name="CABLE_LENGTH" localSheetId="11">#REF!</definedName>
    <definedName name="CABLE_LENGTH" localSheetId="10">#REF!</definedName>
    <definedName name="CABLE_LENGTH" localSheetId="13">#REF!</definedName>
    <definedName name="CABLE_LENGTH" localSheetId="8">#REF!</definedName>
    <definedName name="CABLE_LENGTH" localSheetId="12">#REF!</definedName>
    <definedName name="CABLE_LENGTH" localSheetId="7">#REF!</definedName>
    <definedName name="CABLE_LENGTH" localSheetId="16">#REF!</definedName>
    <definedName name="CABLE_LENGTH" localSheetId="1">#REF!</definedName>
    <definedName name="CABLE_LENGTH" localSheetId="17">#REF!</definedName>
    <definedName name="CABLE_LENGTH" localSheetId="3">#REF!</definedName>
    <definedName name="CABLE_LENGTH" localSheetId="0">#REF!</definedName>
    <definedName name="CABLE_LENGTH" localSheetId="18">#REF!</definedName>
    <definedName name="CABLE_LENGTH" localSheetId="6">#REF!</definedName>
    <definedName name="CABLE_LENGTH" localSheetId="5">#REF!</definedName>
    <definedName name="CABLE_LENGTH" localSheetId="2">#REF!</definedName>
    <definedName name="CABLE_LENGTH">#REF!</definedName>
    <definedName name="CABLE_LGH" localSheetId="9">#REF!</definedName>
    <definedName name="CABLE_LGH" localSheetId="11">#REF!</definedName>
    <definedName name="CABLE_LGH" localSheetId="10">#REF!</definedName>
    <definedName name="CABLE_LGH" localSheetId="13">#REF!</definedName>
    <definedName name="CABLE_LGH" localSheetId="8">#REF!</definedName>
    <definedName name="CABLE_LGH" localSheetId="12">#REF!</definedName>
    <definedName name="CABLE_LGH" localSheetId="7">#REF!</definedName>
    <definedName name="CABLE_LGH" localSheetId="16">#REF!</definedName>
    <definedName name="CABLE_LGH" localSheetId="1">#REF!</definedName>
    <definedName name="CABLE_LGH" localSheetId="17">#REF!</definedName>
    <definedName name="CABLE_LGH" localSheetId="3">#REF!</definedName>
    <definedName name="CABLE_LGH" localSheetId="0">#REF!</definedName>
    <definedName name="CABLE_LGH" localSheetId="18">#REF!</definedName>
    <definedName name="CABLE_LGH" localSheetId="6">#REF!</definedName>
    <definedName name="CABLE_LGH" localSheetId="5">#REF!</definedName>
    <definedName name="CABLE_LGH" localSheetId="2">#REF!</definedName>
    <definedName name="CABLE_LGH">#REF!</definedName>
    <definedName name="Cable_Tabl" localSheetId="9">#REF!</definedName>
    <definedName name="Cable_Tabl" localSheetId="11">#REF!</definedName>
    <definedName name="Cable_Tabl" localSheetId="10">#REF!</definedName>
    <definedName name="Cable_Tabl" localSheetId="13">#REF!</definedName>
    <definedName name="Cable_Tabl" localSheetId="8">#REF!</definedName>
    <definedName name="Cable_Tabl" localSheetId="12">#REF!</definedName>
    <definedName name="Cable_Tabl" localSheetId="7">#REF!</definedName>
    <definedName name="Cable_Tabl" localSheetId="16">#REF!</definedName>
    <definedName name="Cable_Tabl" localSheetId="1">#REF!</definedName>
    <definedName name="Cable_Tabl" localSheetId="17">#REF!</definedName>
    <definedName name="Cable_Tabl" localSheetId="3">#REF!</definedName>
    <definedName name="Cable_Tabl" localSheetId="0">#REF!</definedName>
    <definedName name="Cable_Tabl" localSheetId="18">#REF!</definedName>
    <definedName name="Cable_Tabl" localSheetId="6">#REF!</definedName>
    <definedName name="Cable_Tabl" localSheetId="5">#REF!</definedName>
    <definedName name="Cable_Tabl" localSheetId="2">#REF!</definedName>
    <definedName name="Cable_Tabl">#REF!</definedName>
    <definedName name="Cable_Table" localSheetId="9">#REF!</definedName>
    <definedName name="Cable_Table" localSheetId="11">#REF!</definedName>
    <definedName name="Cable_Table" localSheetId="10">#REF!</definedName>
    <definedName name="Cable_Table" localSheetId="13">#REF!</definedName>
    <definedName name="Cable_Table" localSheetId="8">#REF!</definedName>
    <definedName name="Cable_Table" localSheetId="12">#REF!</definedName>
    <definedName name="Cable_Table" localSheetId="7">#REF!</definedName>
    <definedName name="Cable_Table" localSheetId="16">#REF!</definedName>
    <definedName name="Cable_Table" localSheetId="1">#REF!</definedName>
    <definedName name="Cable_Table" localSheetId="17">#REF!</definedName>
    <definedName name="Cable_Table" localSheetId="3">#REF!</definedName>
    <definedName name="Cable_Table" localSheetId="0">#REF!</definedName>
    <definedName name="Cable_Table" localSheetId="18">#REF!</definedName>
    <definedName name="Cable_Table" localSheetId="6">#REF!</definedName>
    <definedName name="Cable_Table" localSheetId="5">#REF!</definedName>
    <definedName name="Cable_Table" localSheetId="2">#REF!</definedName>
    <definedName name="Cable_Table">#REF!</definedName>
    <definedName name="CABLE_USED" localSheetId="9">#REF!</definedName>
    <definedName name="CABLE_USED" localSheetId="11">#REF!</definedName>
    <definedName name="CABLE_USED" localSheetId="10">#REF!</definedName>
    <definedName name="CABLE_USED" localSheetId="13">#REF!</definedName>
    <definedName name="CABLE_USED" localSheetId="8">#REF!</definedName>
    <definedName name="CABLE_USED" localSheetId="12">#REF!</definedName>
    <definedName name="CABLE_USED" localSheetId="7">#REF!</definedName>
    <definedName name="CABLE_USED" localSheetId="16">#REF!</definedName>
    <definedName name="CABLE_USED" localSheetId="1">#REF!</definedName>
    <definedName name="CABLE_USED" localSheetId="17">#REF!</definedName>
    <definedName name="CABLE_USED" localSheetId="3">#REF!</definedName>
    <definedName name="CABLE_USED" localSheetId="0">#REF!</definedName>
    <definedName name="CABLE_USED" localSheetId="18">#REF!</definedName>
    <definedName name="CABLE_USED" localSheetId="6">#REF!</definedName>
    <definedName name="CABLE_USED" localSheetId="5">#REF!</definedName>
    <definedName name="CABLE_USED" localSheetId="2">#REF!</definedName>
    <definedName name="CABLE_USED">#REF!</definedName>
    <definedName name="CABLE_USED04" localSheetId="9">#REF!</definedName>
    <definedName name="CABLE_USED04" localSheetId="11">#REF!</definedName>
    <definedName name="CABLE_USED04" localSheetId="10">#REF!</definedName>
    <definedName name="CABLE_USED04" localSheetId="13">#REF!</definedName>
    <definedName name="CABLE_USED04" localSheetId="8">#REF!</definedName>
    <definedName name="CABLE_USED04" localSheetId="12">#REF!</definedName>
    <definedName name="CABLE_USED04" localSheetId="7">#REF!</definedName>
    <definedName name="CABLE_USED04" localSheetId="16">#REF!</definedName>
    <definedName name="CABLE_USED04" localSheetId="1">#REF!</definedName>
    <definedName name="CABLE_USED04" localSheetId="17">#REF!</definedName>
    <definedName name="CABLE_USED04" localSheetId="3">#REF!</definedName>
    <definedName name="CABLE_USED04" localSheetId="0">#REF!</definedName>
    <definedName name="CABLE_USED04" localSheetId="18">#REF!</definedName>
    <definedName name="CABLE_USED04" localSheetId="6">#REF!</definedName>
    <definedName name="CABLE_USED04" localSheetId="5">#REF!</definedName>
    <definedName name="CABLE_USED04" localSheetId="2">#REF!</definedName>
    <definedName name="CABLE_USED04">#REF!</definedName>
    <definedName name="CABLE_USED07" localSheetId="9">#REF!</definedName>
    <definedName name="CABLE_USED07" localSheetId="11">#REF!</definedName>
    <definedName name="CABLE_USED07" localSheetId="10">#REF!</definedName>
    <definedName name="CABLE_USED07" localSheetId="13">#REF!</definedName>
    <definedName name="CABLE_USED07" localSheetId="8">#REF!</definedName>
    <definedName name="CABLE_USED07" localSheetId="12">#REF!</definedName>
    <definedName name="CABLE_USED07" localSheetId="7">#REF!</definedName>
    <definedName name="CABLE_USED07" localSheetId="16">#REF!</definedName>
    <definedName name="CABLE_USED07" localSheetId="1">#REF!</definedName>
    <definedName name="CABLE_USED07" localSheetId="17">#REF!</definedName>
    <definedName name="CABLE_USED07" localSheetId="3">#REF!</definedName>
    <definedName name="CABLE_USED07" localSheetId="0">#REF!</definedName>
    <definedName name="CABLE_USED07" localSheetId="18">#REF!</definedName>
    <definedName name="CABLE_USED07" localSheetId="6">#REF!</definedName>
    <definedName name="CABLE_USED07" localSheetId="5">#REF!</definedName>
    <definedName name="CABLE_USED07" localSheetId="2">#REF!</definedName>
    <definedName name="CABLE_USED07">#REF!</definedName>
    <definedName name="CABLELENGHT_04" localSheetId="9">#REF!</definedName>
    <definedName name="CABLELENGHT_04" localSheetId="11">#REF!</definedName>
    <definedName name="CABLELENGHT_04" localSheetId="10">#REF!</definedName>
    <definedName name="CABLELENGHT_04" localSheetId="13">#REF!</definedName>
    <definedName name="CABLELENGHT_04" localSheetId="8">#REF!</definedName>
    <definedName name="CABLELENGHT_04" localSheetId="12">#REF!</definedName>
    <definedName name="CABLELENGHT_04" localSheetId="7">#REF!</definedName>
    <definedName name="CABLELENGHT_04" localSheetId="16">#REF!</definedName>
    <definedName name="CABLELENGHT_04" localSheetId="1">#REF!</definedName>
    <definedName name="CABLELENGHT_04" localSheetId="17">#REF!</definedName>
    <definedName name="CABLELENGHT_04" localSheetId="3">#REF!</definedName>
    <definedName name="CABLELENGHT_04" localSheetId="0">#REF!</definedName>
    <definedName name="CABLELENGHT_04" localSheetId="18">#REF!</definedName>
    <definedName name="CABLELENGHT_04" localSheetId="6">#REF!</definedName>
    <definedName name="CABLELENGHT_04" localSheetId="5">#REF!</definedName>
    <definedName name="CABLELENGHT_04" localSheetId="2">#REF!</definedName>
    <definedName name="CABLELENGHT_04">#REF!</definedName>
    <definedName name="CABLELENGTH_07" localSheetId="9">#REF!</definedName>
    <definedName name="CABLELENGTH_07" localSheetId="11">#REF!</definedName>
    <definedName name="CABLELENGTH_07" localSheetId="10">#REF!</definedName>
    <definedName name="CABLELENGTH_07" localSheetId="13">#REF!</definedName>
    <definedName name="CABLELENGTH_07" localSheetId="8">#REF!</definedName>
    <definedName name="CABLELENGTH_07" localSheetId="12">#REF!</definedName>
    <definedName name="CABLELENGTH_07" localSheetId="7">#REF!</definedName>
    <definedName name="CABLELENGTH_07" localSheetId="16">#REF!</definedName>
    <definedName name="CABLELENGTH_07" localSheetId="1">#REF!</definedName>
    <definedName name="CABLELENGTH_07" localSheetId="17">#REF!</definedName>
    <definedName name="CABLELENGTH_07" localSheetId="3">#REF!</definedName>
    <definedName name="CABLELENGTH_07" localSheetId="0">#REF!</definedName>
    <definedName name="CABLELENGTH_07" localSheetId="18">#REF!</definedName>
    <definedName name="CABLELENGTH_07" localSheetId="6">#REF!</definedName>
    <definedName name="CABLELENGTH_07" localSheetId="5">#REF!</definedName>
    <definedName name="CABLELENGTH_07" localSheetId="2">#REF!</definedName>
    <definedName name="CABLELENGTH_07">#REF!</definedName>
    <definedName name="DESCRIPTION" localSheetId="9">#REF!</definedName>
    <definedName name="DESCRIPTION" localSheetId="11">#REF!</definedName>
    <definedName name="DESCRIPTION" localSheetId="10">#REF!</definedName>
    <definedName name="DESCRIPTION" localSheetId="13">#REF!</definedName>
    <definedName name="DESCRIPTION" localSheetId="8">#REF!</definedName>
    <definedName name="DESCRIPTION" localSheetId="12">#REF!</definedName>
    <definedName name="DESCRIPTION" localSheetId="7">#REF!</definedName>
    <definedName name="DESCRIPTION" localSheetId="16">#REF!</definedName>
    <definedName name="DESCRIPTION" localSheetId="1">#REF!</definedName>
    <definedName name="DESCRIPTION" localSheetId="17">#REF!</definedName>
    <definedName name="DESCRIPTION" localSheetId="3">#REF!</definedName>
    <definedName name="DESCRIPTION" localSheetId="0">#REF!</definedName>
    <definedName name="DESCRIPTION" localSheetId="18">#REF!</definedName>
    <definedName name="DESCRIPTION" localSheetId="6">#REF!</definedName>
    <definedName name="DESCRIPTION" localSheetId="5">#REF!</definedName>
    <definedName name="DESCRIPTION" localSheetId="2">#REF!</definedName>
    <definedName name="DESCRIPTION">#REF!</definedName>
    <definedName name="new" localSheetId="9">#REF!</definedName>
    <definedName name="new" localSheetId="11">#REF!</definedName>
    <definedName name="new" localSheetId="10">#REF!</definedName>
    <definedName name="new" localSheetId="13">#REF!</definedName>
    <definedName name="new" localSheetId="8">#REF!</definedName>
    <definedName name="new" localSheetId="12">#REF!</definedName>
    <definedName name="new" localSheetId="7">#REF!</definedName>
    <definedName name="new" localSheetId="16">#REF!</definedName>
    <definedName name="new" localSheetId="1">#REF!</definedName>
    <definedName name="new" localSheetId="17">#REF!</definedName>
    <definedName name="new" localSheetId="3">#REF!</definedName>
    <definedName name="new" localSheetId="0">#REF!</definedName>
    <definedName name="new" localSheetId="18">#REF!</definedName>
    <definedName name="new" localSheetId="6">#REF!</definedName>
    <definedName name="new" localSheetId="5">#REF!</definedName>
    <definedName name="new" localSheetId="2">#REF!</definedName>
    <definedName name="new">#REF!</definedName>
    <definedName name="_xlnm.Recorder" localSheetId="9">#REF!</definedName>
    <definedName name="_xlnm.Recorder" localSheetId="11">#REF!</definedName>
    <definedName name="_xlnm.Recorder" localSheetId="10">#REF!</definedName>
    <definedName name="_xlnm.Recorder" localSheetId="13">#REF!</definedName>
    <definedName name="_xlnm.Recorder" localSheetId="8">#REF!</definedName>
    <definedName name="_xlnm.Recorder" localSheetId="12">#REF!</definedName>
    <definedName name="_xlnm.Recorder" localSheetId="7">#REF!</definedName>
    <definedName name="_xlnm.Recorder" localSheetId="16">#REF!</definedName>
    <definedName name="_xlnm.Recorder" localSheetId="1">#REF!</definedName>
    <definedName name="_xlnm.Recorder" localSheetId="17">#REF!</definedName>
    <definedName name="_xlnm.Recorder" localSheetId="3">#REF!</definedName>
    <definedName name="_xlnm.Recorder" localSheetId="0">#REF!</definedName>
    <definedName name="_xlnm.Recorder" localSheetId="18">#REF!</definedName>
    <definedName name="_xlnm.Recorder" localSheetId="6">#REF!</definedName>
    <definedName name="_xlnm.Recorder" localSheetId="5">#REF!</definedName>
    <definedName name="_xlnm.Recorder" localSheetId="2">#REF!</definedName>
    <definedName name="_xlnm.Recorder">#REF!</definedName>
    <definedName name="REF_TABLE" localSheetId="9">#REF!</definedName>
    <definedName name="REF_TABLE" localSheetId="11">#REF!</definedName>
    <definedName name="REF_TABLE" localSheetId="10">#REF!</definedName>
    <definedName name="REF_TABLE" localSheetId="13">#REF!</definedName>
    <definedName name="REF_TABLE" localSheetId="8">#REF!</definedName>
    <definedName name="REF_TABLE" localSheetId="12">#REF!</definedName>
    <definedName name="REF_TABLE" localSheetId="7">#REF!</definedName>
    <definedName name="REF_TABLE" localSheetId="16">#REF!</definedName>
    <definedName name="REF_TABLE" localSheetId="1">#REF!</definedName>
    <definedName name="REF_TABLE" localSheetId="17">#REF!</definedName>
    <definedName name="REF_TABLE" localSheetId="3">#REF!</definedName>
    <definedName name="REF_TABLE" localSheetId="0">#REF!</definedName>
    <definedName name="REF_TABLE" localSheetId="18">#REF!</definedName>
    <definedName name="REF_TABLE" localSheetId="6">#REF!</definedName>
    <definedName name="REF_TABLE" localSheetId="5">#REF!</definedName>
    <definedName name="REF_TABLE" localSheetId="2">#REF!</definedName>
    <definedName name="REF_TABLE">#REF!</definedName>
    <definedName name="Sort_Area" localSheetId="9">[1]IO_LIST!#REF!</definedName>
    <definedName name="Sort_Area" localSheetId="11">[1]IO_LIST!#REF!</definedName>
    <definedName name="Sort_Area" localSheetId="10">[1]IO_LIST!#REF!</definedName>
    <definedName name="Sort_Area" localSheetId="13">[1]IO_LIST!#REF!</definedName>
    <definedName name="Sort_Area" localSheetId="8">[1]IO_LIST!#REF!</definedName>
    <definedName name="Sort_Area" localSheetId="12">[1]IO_LIST!#REF!</definedName>
    <definedName name="Sort_Area" localSheetId="7">[1]IO_LIST!#REF!</definedName>
    <definedName name="Sort_Area" localSheetId="16">[1]IO_LIST!#REF!</definedName>
    <definedName name="Sort_Area" localSheetId="1">[1]IO_LIST!#REF!</definedName>
    <definedName name="Sort_Area" localSheetId="17">[1]IO_LIST!#REF!</definedName>
    <definedName name="Sort_Area" localSheetId="3">[1]IO_LIST!#REF!</definedName>
    <definedName name="Sort_Area" localSheetId="0">[1]IO_LIST!#REF!</definedName>
    <definedName name="Sort_Area" localSheetId="18">[1]IO_LIST!#REF!</definedName>
    <definedName name="Sort_Area" localSheetId="6">[1]IO_LIST!#REF!</definedName>
    <definedName name="Sort_Area" localSheetId="5">[1]IO_LIST!#REF!</definedName>
    <definedName name="Sort_Area" localSheetId="2">[1]IO_LIST!#REF!</definedName>
    <definedName name="Sort_Area">[1]IO_LIST!#REF!</definedName>
    <definedName name="Summary_Table" localSheetId="9">'[2]Cable Schedule'!#REF!</definedName>
    <definedName name="Summary_Table" localSheetId="11">'[2]Cable Schedule'!#REF!</definedName>
    <definedName name="Summary_Table" localSheetId="10">'[2]Cable Schedule'!#REF!</definedName>
    <definedName name="Summary_Table" localSheetId="13">'[2]Cable Schedule'!#REF!</definedName>
    <definedName name="Summary_Table" localSheetId="8">'[2]Cable Schedule'!#REF!</definedName>
    <definedName name="Summary_Table" localSheetId="12">'[2]Cable Schedule'!#REF!</definedName>
    <definedName name="Summary_Table" localSheetId="7">'[2]Cable Schedule'!#REF!</definedName>
    <definedName name="Summary_Table" localSheetId="16">'[2]Cable Schedule'!#REF!</definedName>
    <definedName name="Summary_Table" localSheetId="1">'[2]Cable Schedule'!#REF!</definedName>
    <definedName name="Summary_Table" localSheetId="17">'[2]Cable Schedule'!#REF!</definedName>
    <definedName name="Summary_Table" localSheetId="3">'[2]Cable Schedule'!#REF!</definedName>
    <definedName name="Summary_Table" localSheetId="0">'[2]Cable Schedule'!#REF!</definedName>
    <definedName name="Summary_Table" localSheetId="18">'[2]Cable Schedule'!#REF!</definedName>
    <definedName name="Summary_Table" localSheetId="6">'[2]Cable Schedule'!#REF!</definedName>
    <definedName name="Summary_Table" localSheetId="5">'[2]Cable Schedule'!#REF!</definedName>
    <definedName name="Summary_Table" localSheetId="2">'[2]Cable Schedule'!#REF!</definedName>
    <definedName name="Summary_Table">'[2]Cable Schedule'!#REF!</definedName>
    <definedName name="Table1" localSheetId="9">#REF!</definedName>
    <definedName name="Table1" localSheetId="11">#REF!</definedName>
    <definedName name="Table1" localSheetId="10">#REF!</definedName>
    <definedName name="Table1" localSheetId="13">#REF!</definedName>
    <definedName name="Table1" localSheetId="8">#REF!</definedName>
    <definedName name="Table1" localSheetId="12">#REF!</definedName>
    <definedName name="Table1" localSheetId="7">#REF!</definedName>
    <definedName name="Table1" localSheetId="16">#REF!</definedName>
    <definedName name="Table1" localSheetId="1">#REF!</definedName>
    <definedName name="Table1" localSheetId="17">#REF!</definedName>
    <definedName name="Table1" localSheetId="3">#REF!</definedName>
    <definedName name="Table1" localSheetId="0">#REF!</definedName>
    <definedName name="Table1" localSheetId="18">#REF!</definedName>
    <definedName name="Table1" localSheetId="6">#REF!</definedName>
    <definedName name="Table1" localSheetId="5">#REF!</definedName>
    <definedName name="Table1" localSheetId="2">#REF!</definedName>
    <definedName name="Table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2" i="18" l="1"/>
  <c r="S22" i="11"/>
</calcChain>
</file>

<file path=xl/sharedStrings.xml><?xml version="1.0" encoding="utf-8"?>
<sst xmlns="http://schemas.openxmlformats.org/spreadsheetml/2006/main" count="595" uniqueCount="119">
  <si>
    <t>UPDATE JUMPER - AFI's</t>
  </si>
  <si>
    <t>KILN - CTT - CRANE - DOS - SULPHUR MELTER - SLCU</t>
  </si>
  <si>
    <t>DRYER/COALMILL</t>
  </si>
  <si>
    <t>FURNACE</t>
  </si>
  <si>
    <t>CONVERTER</t>
  </si>
  <si>
    <t>UPDATE JUMPER - FORCES</t>
  </si>
  <si>
    <t>UPDATE JUMPER - SHORTBRANCHES</t>
  </si>
  <si>
    <t>NA</t>
  </si>
  <si>
    <t xml:space="preserve">PLC AUDIT JUMPER UPDATE </t>
  </si>
  <si>
    <t>wk52(2024)</t>
  </si>
  <si>
    <t>wk1</t>
  </si>
  <si>
    <t xml:space="preserve">wk2 </t>
  </si>
  <si>
    <t>wk3</t>
  </si>
  <si>
    <t>wk52 (2024)</t>
  </si>
  <si>
    <t xml:space="preserve">wk1 </t>
  </si>
  <si>
    <t>wk2</t>
  </si>
  <si>
    <t xml:space="preserve">wk3 </t>
  </si>
  <si>
    <t>Shortbranches</t>
  </si>
  <si>
    <t>Forces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</si>
  <si>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</si>
  <si>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</si>
  <si>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</si>
  <si>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</si>
  <si>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</si>
  <si>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</si>
  <si>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</si>
  <si>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</si>
  <si>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</si>
  <si>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</si>
  <si>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</si>
  <si>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</si>
  <si>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KILN</t>
  </si>
  <si>
    <t>DRYER</t>
  </si>
  <si>
    <t>CONV</t>
  </si>
  <si>
    <t>wk4</t>
  </si>
  <si>
    <t>D1C</t>
  </si>
  <si>
    <t>D2C</t>
  </si>
  <si>
    <t>D3C</t>
  </si>
  <si>
    <t>RCS</t>
  </si>
  <si>
    <t>PUGMILL</t>
  </si>
  <si>
    <t>D12_DUST</t>
  </si>
  <si>
    <t>PLAN</t>
  </si>
  <si>
    <t>ACTUAL</t>
  </si>
  <si>
    <t>UPDATE JUMPER - Forces</t>
  </si>
  <si>
    <t>UPDATE JUMPER - Shortbranches</t>
  </si>
  <si>
    <t xml:space="preserve"> </t>
  </si>
  <si>
    <t>TDK DIPAKAI</t>
  </si>
  <si>
    <t>TIDAK DIPAKAI</t>
  </si>
  <si>
    <t>Plan per wk AFI berkurang 6 biji</t>
  </si>
  <si>
    <t>kiln</t>
  </si>
  <si>
    <t>dryer</t>
  </si>
  <si>
    <t>Plan per wk AFI berkurang 10 biji</t>
  </si>
  <si>
    <t>wk42</t>
  </si>
  <si>
    <t>wk1 (Jan)</t>
  </si>
  <si>
    <t>wk30 (Jul)</t>
  </si>
  <si>
    <t>wk43</t>
  </si>
  <si>
    <t>AFI</t>
  </si>
  <si>
    <t>wk44</t>
  </si>
  <si>
    <t>Kiln#1</t>
  </si>
  <si>
    <t>Kiln#2</t>
  </si>
  <si>
    <t>Kiln#3</t>
  </si>
  <si>
    <t>Kiln#4</t>
  </si>
  <si>
    <t>CTS#2</t>
  </si>
  <si>
    <t>K1 BMS</t>
  </si>
  <si>
    <t>K2 BMS</t>
  </si>
  <si>
    <t>K3 BMS</t>
  </si>
  <si>
    <t>OS2 KF</t>
  </si>
  <si>
    <t>D1</t>
  </si>
  <si>
    <t>D1 BMS</t>
  </si>
  <si>
    <t>D2 BMS</t>
  </si>
  <si>
    <t>D3 BMS</t>
  </si>
  <si>
    <t>D3 CC</t>
  </si>
  <si>
    <t>C_C4</t>
  </si>
  <si>
    <t>F_F1_M</t>
  </si>
  <si>
    <t>F_F4_M</t>
  </si>
  <si>
    <t>F_F4_MPC</t>
  </si>
  <si>
    <t>Kiln</t>
  </si>
  <si>
    <t>Dryer</t>
  </si>
  <si>
    <t>Furnace</t>
  </si>
  <si>
    <t>Converter</t>
  </si>
  <si>
    <t>K2C</t>
  </si>
  <si>
    <t>CG_1_GPX</t>
  </si>
  <si>
    <t>F_F3_M</t>
  </si>
  <si>
    <t>wk1('25)</t>
  </si>
  <si>
    <t>wk1('26)</t>
  </si>
  <si>
    <t>wk1 ('25)</t>
  </si>
  <si>
    <t>HSFO2</t>
  </si>
  <si>
    <t>CM</t>
  </si>
  <si>
    <t>D3_CC</t>
  </si>
  <si>
    <t xml:space="preserve">D3C </t>
  </si>
  <si>
    <t>APR-MEI</t>
  </si>
  <si>
    <t>K2-K5 RELINE</t>
  </si>
  <si>
    <t>MARCH</t>
  </si>
  <si>
    <t>K1 RELINE</t>
  </si>
  <si>
    <t>K1C</t>
  </si>
  <si>
    <t>-1</t>
  </si>
  <si>
    <t>CTS5</t>
  </si>
  <si>
    <t>HSFO1</t>
  </si>
  <si>
    <t>+4 AFI</t>
  </si>
  <si>
    <t>+2 SB</t>
  </si>
  <si>
    <t>NEW +4 SB</t>
  </si>
  <si>
    <t>NEW +8 SB</t>
  </si>
  <si>
    <t>+3 AFI</t>
  </si>
  <si>
    <t>CTS4</t>
  </si>
  <si>
    <t>+1 AFI</t>
  </si>
  <si>
    <t>+6 AFI</t>
  </si>
  <si>
    <t>+5 AFI</t>
  </si>
  <si>
    <t>KGS</t>
  </si>
  <si>
    <t>+13 AFI</t>
  </si>
  <si>
    <t>+3 FC</t>
  </si>
  <si>
    <t>CMS1</t>
  </si>
  <si>
    <t>+1 FC</t>
  </si>
  <si>
    <t>SSX</t>
  </si>
  <si>
    <t>CG1GPX</t>
  </si>
  <si>
    <t>K5C</t>
  </si>
  <si>
    <t>wk39</t>
  </si>
  <si>
    <t>wk40</t>
  </si>
  <si>
    <t>wk41</t>
  </si>
  <si>
    <t>D12_WEST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</si>
</sst>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20"/>
      <color rgb="FF1F9592"/>
      <name val="Aharoni"/>
      <charset val="177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8"/>
      <name val="Aptos Narrow"/>
      <family val="2"/>
      <scheme val="minor"/>
    </font>
    <font>
      <sz val="26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AFA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4" borderId="1" xfId="0" applyFill="1" applyBorder="1"/>
    <xf numFmtId="0" fontId="2" fillId="5" borderId="2" xfId="0" applyFont="1" applyFill="1" applyBorder="1" applyAlignment="1">
      <alignment horizontal="center" vertical="center"/>
    </xf>
    <xf numFmtId="17" fontId="2" fillId="5" borderId="2" xfId="0" applyNumberFormat="1" applyFont="1" applyFill="1" applyBorder="1" applyAlignment="1">
      <alignment horizontal="center" vertical="center"/>
    </xf>
    <xf numFmtId="17" fontId="2" fillId="3" borderId="0" xfId="0" applyNumberFormat="1" applyFont="1" applyFill="1" applyAlignment="1">
      <alignment horizontal="left" vertical="center"/>
    </xf>
    <xf numFmtId="0" fontId="3" fillId="3" borderId="3" xfId="0" applyFont="1" applyFill="1" applyBorder="1" applyAlignment="1">
      <alignment horizontal="right" vertical="center"/>
    </xf>
    <xf numFmtId="1" fontId="2" fillId="3" borderId="2" xfId="0" applyNumberFormat="1" applyFont="1" applyFill="1" applyBorder="1" applyAlignment="1">
      <alignment horizontal="center" vertical="center"/>
    </xf>
    <xf numFmtId="1" fontId="2" fillId="3" borderId="0" xfId="0" applyNumberFormat="1" applyFont="1" applyFill="1" applyAlignment="1">
      <alignment horizontal="center" vertical="center"/>
    </xf>
    <xf numFmtId="0" fontId="3" fillId="3" borderId="2" xfId="0" applyFont="1" applyFill="1" applyBorder="1" applyAlignment="1">
      <alignment horizontal="right" vertical="center"/>
    </xf>
    <xf numFmtId="0" fontId="0" fillId="3" borderId="4" xfId="0" applyFill="1" applyBorder="1"/>
    <xf numFmtId="0" fontId="0" fillId="4" borderId="4" xfId="0" applyFill="1" applyBorder="1"/>
    <xf numFmtId="0" fontId="0" fillId="4" borderId="5" xfId="0" applyFill="1" applyBorder="1"/>
    <xf numFmtId="17" fontId="2" fillId="3" borderId="0" xfId="0" applyNumberFormat="1" applyFont="1" applyFill="1" applyAlignment="1">
      <alignment horizontal="center" vertical="center"/>
    </xf>
    <xf numFmtId="0" fontId="5" fillId="0" borderId="0" xfId="0" applyFont="1"/>
    <xf numFmtId="1" fontId="2" fillId="3" borderId="0" xfId="0" applyNumberFormat="1" applyFont="1" applyFill="1" applyAlignment="1">
      <alignment horizontal="left" vertical="center"/>
    </xf>
    <xf numFmtId="0" fontId="0" fillId="3" borderId="0" xfId="0" applyFill="1" applyAlignment="1">
      <alignment horizontal="left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6" borderId="0" xfId="0" applyFont="1" applyFill="1"/>
    <xf numFmtId="0" fontId="0" fillId="3" borderId="2" xfId="0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0" fillId="3" borderId="6" xfId="0" applyFill="1" applyBorder="1" applyAlignment="1">
      <alignment vertical="center"/>
    </xf>
    <xf numFmtId="0" fontId="0" fillId="0" borderId="0" xfId="0" applyAlignment="1">
      <alignment vertical="center"/>
    </xf>
    <xf numFmtId="1" fontId="2" fillId="0" borderId="0" xfId="0" applyNumberFormat="1" applyFont="1" applyAlignment="1">
      <alignment horizontal="center" vertical="center"/>
    </xf>
    <xf numFmtId="1" fontId="2" fillId="7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left" vertical="center"/>
    </xf>
    <xf numFmtId="0" fontId="0" fillId="0" borderId="0" xfId="0" quotePrefix="1"/>
    <xf numFmtId="0" fontId="4" fillId="2" borderId="0" xfId="0" applyFont="1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</cellXfs>
  <cellStyles count="1">
    <cellStyle name="Normal" xfId="0" builtinId="0"/>
  </cellStyles>
  <dxfs count="35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2D8F78"/>
      <color rgb="FF007E79"/>
      <color rgb="FFFFFFDD"/>
      <color rgb="FFFFEBCD"/>
      <color rgb="FFD5D0F4"/>
      <color rgb="FFF9D4C3"/>
      <color rgb="FFFCEBD8"/>
      <color rgb="FFFFE5E5"/>
      <color rgb="FFFFFFB9"/>
      <color rgb="FFE5F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baseline="0">
                <a:solidFill>
                  <a:sysClr val="windowText" lastClr="000000"/>
                </a:solidFill>
              </a:rPr>
              <a:t>KILN - CTT - CRANE - DOS - SULPHUR MELTER - SLCU</a:t>
            </a:r>
            <a:endParaRPr lang="en-US" sz="14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4889744065549624"/>
          <c:y val="1.95714969510442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'Forces (wkly) new'!$B$6</c:f>
              <c:strCache>
                <c:ptCount val="1"/>
                <c:pt idx="0">
                  <c:v>KILN - CTT - CRANE - DOS - SULPHUR MELTER - SLCU</c:v>
                </c:pt>
              </c:strCache>
            </c:strRef>
          </c:tx>
          <c:spPr>
            <a:ln w="28575" cap="rnd">
              <a:solidFill>
                <a:schemeClr val="accent5">
                  <a:shade val="58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5">
                  <a:shade val="58000"/>
                </a:schemeClr>
              </a:solidFill>
              <a:ln w="9525">
                <a:solidFill>
                  <a:schemeClr val="accent5">
                    <a:shade val="58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'Forces (wkly) new'!$C$5:$F$5</c:f>
              <c:strCache>
                <c:ptCount val="4"/>
                <c:pt idx="0">
                  <c:v>wk1 </c:v>
                </c:pt>
                <c:pt idx="1">
                  <c:v>wk2</c:v>
                </c:pt>
                <c:pt idx="2">
                  <c:v>wk3 </c:v>
                </c:pt>
                <c:pt idx="3">
                  <c:v>wk4</c:v>
                </c:pt>
              </c:strCache>
            </c:strRef>
          </c:cat>
          <c:val>
            <c:numRef>
              <c:f>'Forces (wkly) new'!$C$6:$F$6</c:f>
              <c:numCache>
                <c:formatCode>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83-4451-98DB-073DE5E4D2ED}"/>
            </c:ext>
          </c:extLst>
        </c:ser>
        <c:ser>
          <c:idx val="1"/>
          <c:order val="1"/>
          <c:tx>
            <c:strRef>
              <c:f>'Forces (wkly) new'!$B$7</c:f>
              <c:strCache>
                <c:ptCount val="1"/>
                <c:pt idx="0">
                  <c:v>DRYER/COALMILL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'Forces (wkly) new'!$C$5:$F$5</c:f>
              <c:strCache>
                <c:ptCount val="4"/>
                <c:pt idx="0">
                  <c:v>wk1 </c:v>
                </c:pt>
                <c:pt idx="1">
                  <c:v>wk2</c:v>
                </c:pt>
                <c:pt idx="2">
                  <c:v>wk3 </c:v>
                </c:pt>
                <c:pt idx="3">
                  <c:v>wk4</c:v>
                </c:pt>
              </c:strCache>
            </c:strRef>
          </c:cat>
          <c:val>
            <c:numRef>
              <c:f>'Forces (wkly) new'!$C$7:$F$7</c:f>
              <c:numCache>
                <c:formatCode>0</c:formatCode>
                <c:ptCount val="4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B783-4451-98DB-073DE5E4D2E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'Forces (wkly) new'!$B$8</c15:sqref>
                        </c15:formulaRef>
                      </c:ext>
                    </c:extLst>
                    <c:strCache>
                      <c:ptCount val="1"/>
                      <c:pt idx="0">
                        <c:v>FURNACE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tint val="86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tint val="86000"/>
                      </a:schemeClr>
                    </a:solidFill>
                    <a:ln w="9525">
                      <a:solidFill>
                        <a:schemeClr val="accent5">
                          <a:tint val="86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'Forces (wkly) new'!$C$5:$F$5</c15:sqref>
                        </c15:formulaRef>
                      </c:ext>
                    </c:extLst>
                    <c:strCache>
                      <c:ptCount val="4"/>
                      <c:pt idx="0">
                        <c:v>wk1 </c:v>
                      </c:pt>
                      <c:pt idx="1">
                        <c:v>wk2</c:v>
                      </c:pt>
                      <c:pt idx="2">
                        <c:v>wk3 </c:v>
                      </c:pt>
                      <c:pt idx="3">
                        <c:v>wk4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'Forces (wkly) new'!$C$8:$F$8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1</c:v>
                      </c:pt>
                      <c:pt idx="3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783-4451-98DB-073DE5E4D2E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'Forces (wkly) new'!$B$9</c15:sqref>
                        </c15:formulaRef>
                      </c:ext>
                    </c:extLst>
                    <c:strCache>
                      <c:ptCount val="1"/>
                      <c:pt idx="0">
                        <c:v>CONVERTER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tint val="58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tint val="58000"/>
                      </a:schemeClr>
                    </a:solidFill>
                    <a:ln w="9525">
                      <a:solidFill>
                        <a:schemeClr val="accent5">
                          <a:tint val="58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'Forces (wkly) new'!$C$5:$F$5</c15:sqref>
                        </c15:formulaRef>
                      </c:ext>
                    </c:extLst>
                    <c:strCache>
                      <c:ptCount val="4"/>
                      <c:pt idx="0">
                        <c:v>wk1 </c:v>
                      </c:pt>
                      <c:pt idx="1">
                        <c:v>wk2</c:v>
                      </c:pt>
                      <c:pt idx="2">
                        <c:v>wk3 </c:v>
                      </c:pt>
                      <c:pt idx="3">
                        <c:v>wk4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'Forces (wkly) new'!$C$9:$F$9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1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783-4451-98DB-073DE5E4D2ED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baseline="0">
                <a:solidFill>
                  <a:sysClr val="windowText" lastClr="000000"/>
                </a:solidFill>
              </a:rPr>
              <a:t>DRYER-COALMILL</a:t>
            </a:r>
            <a:endParaRPr lang="en-US" sz="14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41223081685848212"/>
          <c:y val="1.95714969510442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'Forces (wkly) new'!$B$7</c:f>
              <c:strCache>
                <c:ptCount val="1"/>
                <c:pt idx="0">
                  <c:v>DRYER/COALMILL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'Forces (wkly) new'!$C$5:$F$5</c:f>
              <c:strCache>
                <c:ptCount val="4"/>
                <c:pt idx="0">
                  <c:v>wk1 </c:v>
                </c:pt>
                <c:pt idx="1">
                  <c:v>wk2</c:v>
                </c:pt>
                <c:pt idx="2">
                  <c:v>wk3 </c:v>
                </c:pt>
                <c:pt idx="3">
                  <c:v>wk4</c:v>
                </c:pt>
              </c:strCache>
            </c:strRef>
          </c:cat>
          <c:val>
            <c:numRef>
              <c:f>'Forces (wkly) new'!$C$7:$F$7</c:f>
              <c:numCache>
                <c:formatCode>0</c:formatCode>
                <c:ptCount val="4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C8C7-42BB-AC01-B1D630E455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'Forces (wkly) new'!$B$6</c15:sqref>
                        </c15:formulaRef>
                      </c:ext>
                    </c:extLst>
                    <c:strCache>
                      <c:ptCount val="1"/>
                      <c:pt idx="0">
                        <c:v>KILN - CTT - CRANE - DOS - SULPHUR MELTER - SLCU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shade val="58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0"/>
                  <c:spPr>
                    <a:solidFill>
                      <a:schemeClr val="accent5">
                        <a:shade val="58000"/>
                      </a:schemeClr>
                    </a:solidFill>
                    <a:ln w="9525">
                      <a:solidFill>
                        <a:schemeClr val="accent5">
                          <a:shade val="58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'Forces (wkly) new'!$C$5:$F$5</c15:sqref>
                        </c15:formulaRef>
                      </c:ext>
                    </c:extLst>
                    <c:strCache>
                      <c:ptCount val="4"/>
                      <c:pt idx="0">
                        <c:v>wk1 </c:v>
                      </c:pt>
                      <c:pt idx="1">
                        <c:v>wk2</c:v>
                      </c:pt>
                      <c:pt idx="2">
                        <c:v>wk3 </c:v>
                      </c:pt>
                      <c:pt idx="3">
                        <c:v>wk4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'Forces (wkly) new'!$C$6:$F$6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8C7-42BB-AC01-B1D630E4551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'Forces (wkly) new'!$B$8</c15:sqref>
                        </c15:formulaRef>
                      </c:ext>
                    </c:extLst>
                    <c:strCache>
                      <c:ptCount val="1"/>
                      <c:pt idx="0">
                        <c:v>FURNACE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tint val="86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tint val="86000"/>
                      </a:schemeClr>
                    </a:solidFill>
                    <a:ln w="9525">
                      <a:solidFill>
                        <a:schemeClr val="accent5">
                          <a:tint val="86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'Forces (wkly) new'!$C$5:$F$5</c15:sqref>
                        </c15:formulaRef>
                      </c:ext>
                    </c:extLst>
                    <c:strCache>
                      <c:ptCount val="4"/>
                      <c:pt idx="0">
                        <c:v>wk1 </c:v>
                      </c:pt>
                      <c:pt idx="1">
                        <c:v>wk2</c:v>
                      </c:pt>
                      <c:pt idx="2">
                        <c:v>wk3 </c:v>
                      </c:pt>
                      <c:pt idx="3">
                        <c:v>wk4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'Forces (wkly) new'!$C$8:$F$8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1</c:v>
                      </c:pt>
                      <c:pt idx="3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8C7-42BB-AC01-B1D630E4551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'Forces (wkly) new'!$B$9</c15:sqref>
                        </c15:formulaRef>
                      </c:ext>
                    </c:extLst>
                    <c:strCache>
                      <c:ptCount val="1"/>
                      <c:pt idx="0">
                        <c:v>CONVERTER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tint val="58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tint val="58000"/>
                      </a:schemeClr>
                    </a:solidFill>
                    <a:ln w="9525">
                      <a:solidFill>
                        <a:schemeClr val="accent5">
                          <a:tint val="58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'Forces (wkly) new'!$C$5:$F$5</c15:sqref>
                        </c15:formulaRef>
                      </c:ext>
                    </c:extLst>
                    <c:strCache>
                      <c:ptCount val="4"/>
                      <c:pt idx="0">
                        <c:v>wk1 </c:v>
                      </c:pt>
                      <c:pt idx="1">
                        <c:v>wk2</c:v>
                      </c:pt>
                      <c:pt idx="2">
                        <c:v>wk3 </c:v>
                      </c:pt>
                      <c:pt idx="3">
                        <c:v>wk4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'Forces (wkly) new'!$C$9:$F$9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1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8C7-42BB-AC01-B1D630E45510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baseline="0">
                <a:solidFill>
                  <a:sysClr val="windowText" lastClr="000000"/>
                </a:solidFill>
              </a:rPr>
              <a:t>FURNACE</a:t>
            </a:r>
            <a:endParaRPr lang="en-US" sz="14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45056416025306045"/>
          <c:y val="1.95714969510442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'Forces (wkly) new'!$B$8</c:f>
              <c:strCache>
                <c:ptCount val="1"/>
                <c:pt idx="0">
                  <c:v>FURNACE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'Forces (wkly) new'!$C$5:$F$5</c:f>
              <c:strCache>
                <c:ptCount val="4"/>
                <c:pt idx="0">
                  <c:v>wk1 </c:v>
                </c:pt>
                <c:pt idx="1">
                  <c:v>wk2</c:v>
                </c:pt>
                <c:pt idx="2">
                  <c:v>wk3 </c:v>
                </c:pt>
                <c:pt idx="3">
                  <c:v>wk4</c:v>
                </c:pt>
              </c:strCache>
            </c:strRef>
          </c:cat>
          <c:val>
            <c:numRef>
              <c:f>'Forces (wkly) new'!$C$8:$F$8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D185-4307-AE07-720C7AC0F9A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'Forces (wkly) new'!$B$6</c15:sqref>
                        </c15:formulaRef>
                      </c:ext>
                    </c:extLst>
                    <c:strCache>
                      <c:ptCount val="1"/>
                      <c:pt idx="0">
                        <c:v>KILN - CTT - CRANE - DOS - SULPHUR MELTER - SLCU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shade val="58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0"/>
                  <c:spPr>
                    <a:solidFill>
                      <a:schemeClr val="accent5">
                        <a:shade val="58000"/>
                      </a:schemeClr>
                    </a:solidFill>
                    <a:ln w="9525">
                      <a:solidFill>
                        <a:schemeClr val="accent5">
                          <a:shade val="58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'Forces (wkly) new'!$C$5:$F$5</c15:sqref>
                        </c15:formulaRef>
                      </c:ext>
                    </c:extLst>
                    <c:strCache>
                      <c:ptCount val="4"/>
                      <c:pt idx="0">
                        <c:v>wk1 </c:v>
                      </c:pt>
                      <c:pt idx="1">
                        <c:v>wk2</c:v>
                      </c:pt>
                      <c:pt idx="2">
                        <c:v>wk3 </c:v>
                      </c:pt>
                      <c:pt idx="3">
                        <c:v>wk4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'Forces (wkly) new'!$C$6:$F$6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185-4307-AE07-720C7AC0F9A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'Forces (wkly) new'!$B$7</c15:sqref>
                        </c15:formulaRef>
                      </c:ext>
                    </c:extLst>
                    <c:strCache>
                      <c:ptCount val="1"/>
                      <c:pt idx="0">
                        <c:v>DRYER/COALMILL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10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'Forces (wkly) new'!$C$5:$F$5</c15:sqref>
                        </c15:formulaRef>
                      </c:ext>
                    </c:extLst>
                    <c:strCache>
                      <c:ptCount val="4"/>
                      <c:pt idx="0">
                        <c:v>wk1 </c:v>
                      </c:pt>
                      <c:pt idx="1">
                        <c:v>wk2</c:v>
                      </c:pt>
                      <c:pt idx="2">
                        <c:v>wk3 </c:v>
                      </c:pt>
                      <c:pt idx="3">
                        <c:v>wk4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'Forces (wkly) new'!$C$7:$F$7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8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85-4307-AE07-720C7AC0F9A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'Forces (wkly) new'!$B$9</c15:sqref>
                        </c15:formulaRef>
                      </c:ext>
                    </c:extLst>
                    <c:strCache>
                      <c:ptCount val="1"/>
                      <c:pt idx="0">
                        <c:v>CONVERTER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tint val="58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tint val="58000"/>
                      </a:schemeClr>
                    </a:solidFill>
                    <a:ln w="9525">
                      <a:solidFill>
                        <a:schemeClr val="accent5">
                          <a:tint val="58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'Forces (wkly) new'!$C$5:$F$5</c15:sqref>
                        </c15:formulaRef>
                      </c:ext>
                    </c:extLst>
                    <c:strCache>
                      <c:ptCount val="4"/>
                      <c:pt idx="0">
                        <c:v>wk1 </c:v>
                      </c:pt>
                      <c:pt idx="1">
                        <c:v>wk2</c:v>
                      </c:pt>
                      <c:pt idx="2">
                        <c:v>wk3 </c:v>
                      </c:pt>
                      <c:pt idx="3">
                        <c:v>wk4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'Forces (wkly) new'!$C$9:$F$9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1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185-4307-AE07-720C7AC0F9A6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baseline="0">
                <a:solidFill>
                  <a:sysClr val="windowText" lastClr="000000"/>
                </a:solidFill>
              </a:rPr>
              <a:t>CONVERTER</a:t>
            </a:r>
            <a:endParaRPr lang="en-US" sz="14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4305641550037152"/>
          <c:y val="1.95714969510442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'Forces (wkly) new'!$B$9</c:f>
              <c:strCache>
                <c:ptCount val="1"/>
                <c:pt idx="0">
                  <c:v>CONVERTER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'Forces (wkly) new'!$C$5:$F$5</c:f>
              <c:strCache>
                <c:ptCount val="4"/>
                <c:pt idx="0">
                  <c:v>wk1 </c:v>
                </c:pt>
                <c:pt idx="1">
                  <c:v>wk2</c:v>
                </c:pt>
                <c:pt idx="2">
                  <c:v>wk3 </c:v>
                </c:pt>
                <c:pt idx="3">
                  <c:v>wk4</c:v>
                </c:pt>
              </c:strCache>
            </c:strRef>
          </c:cat>
          <c:val>
            <c:numRef>
              <c:f>'Forces (wkly) new'!$C$9:$F$9</c:f>
              <c:numCache>
                <c:formatCode>0</c:formatCode>
                <c:ptCount val="4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5597-479B-9BFB-7E4C3910FE8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'Forces (wkly) new'!$B$6</c15:sqref>
                        </c15:formulaRef>
                      </c:ext>
                    </c:extLst>
                    <c:strCache>
                      <c:ptCount val="1"/>
                      <c:pt idx="0">
                        <c:v>KILN - CTT - CRANE - DOS - SULPHUR MELTER - SLCU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shade val="58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0"/>
                  <c:spPr>
                    <a:solidFill>
                      <a:schemeClr val="accent5">
                        <a:shade val="58000"/>
                      </a:schemeClr>
                    </a:solidFill>
                    <a:ln w="9525">
                      <a:solidFill>
                        <a:schemeClr val="accent5">
                          <a:shade val="58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'Forces (wkly) new'!$C$5:$F$5</c15:sqref>
                        </c15:formulaRef>
                      </c:ext>
                    </c:extLst>
                    <c:strCache>
                      <c:ptCount val="4"/>
                      <c:pt idx="0">
                        <c:v>wk1 </c:v>
                      </c:pt>
                      <c:pt idx="1">
                        <c:v>wk2</c:v>
                      </c:pt>
                      <c:pt idx="2">
                        <c:v>wk3 </c:v>
                      </c:pt>
                      <c:pt idx="3">
                        <c:v>wk4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'Forces (wkly) new'!$C$6:$F$6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597-479B-9BFB-7E4C3910FE8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'Forces (wkly) new'!$B$7</c15:sqref>
                        </c15:formulaRef>
                      </c:ext>
                    </c:extLst>
                    <c:strCache>
                      <c:ptCount val="1"/>
                      <c:pt idx="0">
                        <c:v>DRYER/COALMILL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10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'Forces (wkly) new'!$C$5:$F$5</c15:sqref>
                        </c15:formulaRef>
                      </c:ext>
                    </c:extLst>
                    <c:strCache>
                      <c:ptCount val="4"/>
                      <c:pt idx="0">
                        <c:v>wk1 </c:v>
                      </c:pt>
                      <c:pt idx="1">
                        <c:v>wk2</c:v>
                      </c:pt>
                      <c:pt idx="2">
                        <c:v>wk3 </c:v>
                      </c:pt>
                      <c:pt idx="3">
                        <c:v>wk4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'Forces (wkly) new'!$C$7:$F$7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8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597-479B-9BFB-7E4C3910FE8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'Forces (wkly) new'!$B$8</c15:sqref>
                        </c15:formulaRef>
                      </c:ext>
                    </c:extLst>
                    <c:strCache>
                      <c:ptCount val="1"/>
                      <c:pt idx="0">
                        <c:v>FURNACE</c:v>
                      </c:pt>
                    </c:strCache>
                  </c:strRef>
                </c:tx>
                <c:spPr>
                  <a:ln w="28575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circle"/>
                  <c:size val="10"/>
                  <c:spPr>
                    <a:solidFill>
                      <a:srgbClr val="C00000"/>
                    </a:solidFill>
                    <a:ln w="9525">
                      <a:solidFill>
                        <a:srgbClr val="C00000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'Forces (wkly) new'!$C$5:$F$5</c15:sqref>
                        </c15:formulaRef>
                      </c:ext>
                    </c:extLst>
                    <c:strCache>
                      <c:ptCount val="4"/>
                      <c:pt idx="0">
                        <c:v>wk1 </c:v>
                      </c:pt>
                      <c:pt idx="1">
                        <c:v>wk2</c:v>
                      </c:pt>
                      <c:pt idx="2">
                        <c:v>wk3 </c:v>
                      </c:pt>
                      <c:pt idx="3">
                        <c:v>wk4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'Forces (wkly) new'!$C$8:$F$8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1</c:v>
                      </c:pt>
                      <c:pt idx="3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597-479B-9BFB-7E4C3910FE8E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baseline="0">
                <a:solidFill>
                  <a:sysClr val="windowText" lastClr="000000"/>
                </a:solidFill>
              </a:rPr>
              <a:t>KILN - CTT - CRANE - DOS - SULPHUR MELTER - SLCU</a:t>
            </a:r>
            <a:endParaRPr lang="en-US" sz="14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4889744065549624"/>
          <c:y val="1.95714969510442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'AFI (wkly)'!$B$6</c:f>
              <c:strCache>
                <c:ptCount val="1"/>
                <c:pt idx="0">
                  <c:v>KILN - CTT - CRANE - DOS - SULPHUR MELTER - SLCU</c:v>
                </c:pt>
              </c:strCache>
            </c:strRef>
          </c:tx>
          <c:spPr>
            <a:ln w="28575" cap="rnd">
              <a:solidFill>
                <a:schemeClr val="accent5">
                  <a:shade val="58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5">
                  <a:shade val="58000"/>
                </a:schemeClr>
              </a:solidFill>
              <a:ln w="9525">
                <a:solidFill>
                  <a:schemeClr val="accent5">
                    <a:shade val="58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'AFI (wkly)'!$C$5:$F$5</c:f>
              <c:strCache>
                <c:ptCount val="4"/>
                <c:pt idx="0">
                  <c:v>wk1 </c:v>
                </c:pt>
                <c:pt idx="1">
                  <c:v>wk2</c:v>
                </c:pt>
                <c:pt idx="2">
                  <c:v>wk3 </c:v>
                </c:pt>
                <c:pt idx="3">
                  <c:v>wk4</c:v>
                </c:pt>
              </c:strCache>
            </c:strRef>
          </c:cat>
          <c:val>
            <c:numRef>
              <c:f>'AFI (wkly)'!$C$6:$F$6</c:f>
              <c:numCache>
                <c:formatCode>0</c:formatCode>
                <c:ptCount val="4"/>
                <c:pt idx="0">
                  <c:v>501</c:v>
                </c:pt>
                <c:pt idx="1">
                  <c:v>501</c:v>
                </c:pt>
                <c:pt idx="2">
                  <c:v>501</c:v>
                </c:pt>
                <c:pt idx="3">
                  <c:v>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39-4004-ABA8-DB62043EC83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'AFI (wkly)'!$B$7</c15:sqref>
                        </c15:formulaRef>
                      </c:ext>
                    </c:extLst>
                    <c:strCache>
                      <c:ptCount val="1"/>
                      <c:pt idx="0">
                        <c:v>DRYER/COALMILL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shade val="86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shade val="86000"/>
                      </a:schemeClr>
                    </a:solidFill>
                    <a:ln w="9525">
                      <a:solidFill>
                        <a:schemeClr val="accent5">
                          <a:shade val="86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'AFI (wkly)'!$C$5:$F$5</c15:sqref>
                        </c15:formulaRef>
                      </c:ext>
                    </c:extLst>
                    <c:strCache>
                      <c:ptCount val="4"/>
                      <c:pt idx="0">
                        <c:v>wk1 </c:v>
                      </c:pt>
                      <c:pt idx="1">
                        <c:v>wk2</c:v>
                      </c:pt>
                      <c:pt idx="2">
                        <c:v>wk3 </c:v>
                      </c:pt>
                      <c:pt idx="3">
                        <c:v>wk4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'AFI (wkly)'!$C$7:$F$7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301</c:v>
                      </c:pt>
                      <c:pt idx="1">
                        <c:v>292</c:v>
                      </c:pt>
                      <c:pt idx="2">
                        <c:v>287</c:v>
                      </c:pt>
                      <c:pt idx="3">
                        <c:v>200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B39-4004-ABA8-DB62043EC83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'AFI (wkly)'!$B$8</c15:sqref>
                        </c15:formulaRef>
                      </c:ext>
                    </c:extLst>
                    <c:strCache>
                      <c:ptCount val="1"/>
                      <c:pt idx="0">
                        <c:v>FURNACE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tint val="86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tint val="86000"/>
                      </a:schemeClr>
                    </a:solidFill>
                    <a:ln w="9525">
                      <a:solidFill>
                        <a:schemeClr val="accent5">
                          <a:tint val="86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'AFI (wkly)'!$C$5:$F$5</c15:sqref>
                        </c15:formulaRef>
                      </c:ext>
                    </c:extLst>
                    <c:strCache>
                      <c:ptCount val="4"/>
                      <c:pt idx="0">
                        <c:v>wk1 </c:v>
                      </c:pt>
                      <c:pt idx="1">
                        <c:v>wk2</c:v>
                      </c:pt>
                      <c:pt idx="2">
                        <c:v>wk3 </c:v>
                      </c:pt>
                      <c:pt idx="3">
                        <c:v>wk4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'AFI (wkly)'!$C$8:$F$8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B39-4004-ABA8-DB62043EC83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'AFI (wkly)'!$B$9</c15:sqref>
                        </c15:formulaRef>
                      </c:ext>
                    </c:extLst>
                    <c:strCache>
                      <c:ptCount val="1"/>
                      <c:pt idx="0">
                        <c:v>CONVERTER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tint val="58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tint val="58000"/>
                      </a:schemeClr>
                    </a:solidFill>
                    <a:ln w="9525">
                      <a:solidFill>
                        <a:schemeClr val="accent5">
                          <a:tint val="58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'AFI (wkly)'!$C$5:$F$5</c15:sqref>
                        </c15:formulaRef>
                      </c:ext>
                    </c:extLst>
                    <c:strCache>
                      <c:ptCount val="4"/>
                      <c:pt idx="0">
                        <c:v>wk1 </c:v>
                      </c:pt>
                      <c:pt idx="1">
                        <c:v>wk2</c:v>
                      </c:pt>
                      <c:pt idx="2">
                        <c:v>wk3 </c:v>
                      </c:pt>
                      <c:pt idx="3">
                        <c:v>wk4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'AFI (wkly)'!$C$9:$F$9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B39-4004-ABA8-DB62043EC83F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baseline="0">
                <a:solidFill>
                  <a:sysClr val="windowText" lastClr="000000"/>
                </a:solidFill>
              </a:rPr>
              <a:t>DRYER-COALMILL</a:t>
            </a:r>
            <a:endParaRPr lang="en-US" sz="14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41223081685848212"/>
          <c:y val="1.95714969510442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'AFI (wkly)'!$B$7</c:f>
              <c:strCache>
                <c:ptCount val="1"/>
                <c:pt idx="0">
                  <c:v>DRYER/COALMILL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'AFI (wkly)'!$C$5:$F$5</c:f>
              <c:strCache>
                <c:ptCount val="4"/>
                <c:pt idx="0">
                  <c:v>wk1 </c:v>
                </c:pt>
                <c:pt idx="1">
                  <c:v>wk2</c:v>
                </c:pt>
                <c:pt idx="2">
                  <c:v>wk3 </c:v>
                </c:pt>
                <c:pt idx="3">
                  <c:v>wk4</c:v>
                </c:pt>
              </c:strCache>
              <c:extLst xmlns:c15="http://schemas.microsoft.com/office/drawing/2012/chart"/>
            </c:strRef>
          </c:cat>
          <c:val>
            <c:numRef>
              <c:f>'AFI (wkly)'!$C$7:$F$7</c:f>
              <c:numCache>
                <c:formatCode>0</c:formatCode>
                <c:ptCount val="4"/>
                <c:pt idx="0">
                  <c:v>301</c:v>
                </c:pt>
                <c:pt idx="1">
                  <c:v>292</c:v>
                </c:pt>
                <c:pt idx="2">
                  <c:v>287</c:v>
                </c:pt>
                <c:pt idx="3">
                  <c:v>200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33B-44C0-9EB2-990CD7FFAC1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'AFI (wkly)'!$B$6</c15:sqref>
                        </c15:formulaRef>
                      </c:ext>
                    </c:extLst>
                    <c:strCache>
                      <c:ptCount val="1"/>
                      <c:pt idx="0">
                        <c:v>KILN - CTT - CRANE - DOS - SULPHUR MELTER - SLCU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shade val="58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0"/>
                  <c:spPr>
                    <a:solidFill>
                      <a:schemeClr val="accent5">
                        <a:shade val="58000"/>
                      </a:schemeClr>
                    </a:solidFill>
                    <a:ln w="9525">
                      <a:solidFill>
                        <a:schemeClr val="accent5">
                          <a:shade val="58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'AFI (wkly)'!$C$5:$F$5</c15:sqref>
                        </c15:formulaRef>
                      </c:ext>
                    </c:extLst>
                    <c:strCache>
                      <c:ptCount val="4"/>
                      <c:pt idx="0">
                        <c:v>wk1 </c:v>
                      </c:pt>
                      <c:pt idx="1">
                        <c:v>wk2</c:v>
                      </c:pt>
                      <c:pt idx="2">
                        <c:v>wk3 </c:v>
                      </c:pt>
                      <c:pt idx="3">
                        <c:v>wk4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'AFI (wkly)'!$C$6:$F$6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501</c:v>
                      </c:pt>
                      <c:pt idx="1">
                        <c:v>501</c:v>
                      </c:pt>
                      <c:pt idx="2">
                        <c:v>501</c:v>
                      </c:pt>
                      <c:pt idx="3">
                        <c:v>496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33B-44C0-9EB2-990CD7FFAC1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'AFI (wkly)'!$B$8</c15:sqref>
                        </c15:formulaRef>
                      </c:ext>
                    </c:extLst>
                    <c:strCache>
                      <c:ptCount val="1"/>
                      <c:pt idx="0">
                        <c:v>FURNACE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tint val="86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tint val="86000"/>
                      </a:schemeClr>
                    </a:solidFill>
                    <a:ln w="9525">
                      <a:solidFill>
                        <a:schemeClr val="accent5">
                          <a:tint val="86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'AFI (wkly)'!$C$5:$F$5</c15:sqref>
                        </c15:formulaRef>
                      </c:ext>
                    </c:extLst>
                    <c:strCache>
                      <c:ptCount val="4"/>
                      <c:pt idx="0">
                        <c:v>wk1 </c:v>
                      </c:pt>
                      <c:pt idx="1">
                        <c:v>wk2</c:v>
                      </c:pt>
                      <c:pt idx="2">
                        <c:v>wk3 </c:v>
                      </c:pt>
                      <c:pt idx="3">
                        <c:v>wk4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'AFI (wkly)'!$C$8:$F$8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33B-44C0-9EB2-990CD7FFAC1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'AFI (wkly)'!$B$9</c15:sqref>
                        </c15:formulaRef>
                      </c:ext>
                    </c:extLst>
                    <c:strCache>
                      <c:ptCount val="1"/>
                      <c:pt idx="0">
                        <c:v>CONVERTER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tint val="58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tint val="58000"/>
                      </a:schemeClr>
                    </a:solidFill>
                    <a:ln w="9525">
                      <a:solidFill>
                        <a:schemeClr val="accent5">
                          <a:tint val="58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'AFI (wkly)'!$C$5:$F$5</c15:sqref>
                        </c15:formulaRef>
                      </c:ext>
                    </c:extLst>
                    <c:strCache>
                      <c:ptCount val="4"/>
                      <c:pt idx="0">
                        <c:v>wk1 </c:v>
                      </c:pt>
                      <c:pt idx="1">
                        <c:v>wk2</c:v>
                      </c:pt>
                      <c:pt idx="2">
                        <c:v>wk3 </c:v>
                      </c:pt>
                      <c:pt idx="3">
                        <c:v>wk4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'AFI (wkly)'!$C$9:$F$9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33B-44C0-9EB2-990CD7FFAC17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baseline="0">
                <a:solidFill>
                  <a:sysClr val="windowText" lastClr="000000"/>
                </a:solidFill>
              </a:rPr>
              <a:t>FURNACE</a:t>
            </a:r>
            <a:endParaRPr lang="en-US" sz="14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45056416025306045"/>
          <c:y val="1.95714969510442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'AFI (wkly)'!$B$8</c:f>
              <c:strCache>
                <c:ptCount val="1"/>
                <c:pt idx="0">
                  <c:v>FURNACE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'AFI (wkly)'!$C$5:$F$5</c:f>
              <c:strCache>
                <c:ptCount val="4"/>
                <c:pt idx="0">
                  <c:v>wk1 </c:v>
                </c:pt>
                <c:pt idx="1">
                  <c:v>wk2</c:v>
                </c:pt>
                <c:pt idx="2">
                  <c:v>wk3 </c:v>
                </c:pt>
                <c:pt idx="3">
                  <c:v>wk4</c:v>
                </c:pt>
              </c:strCache>
              <c:extLst xmlns:c15="http://schemas.microsoft.com/office/drawing/2012/chart"/>
            </c:strRef>
          </c:cat>
          <c:val>
            <c:numRef>
              <c:f>'AFI (wkly)'!$C$8:$F$8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E7B7-4482-8F68-7F49157FC78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'AFI (wkly)'!$B$6</c15:sqref>
                        </c15:formulaRef>
                      </c:ext>
                    </c:extLst>
                    <c:strCache>
                      <c:ptCount val="1"/>
                      <c:pt idx="0">
                        <c:v>KILN - CTT - CRANE - DOS - SULPHUR MELTER - SLCU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shade val="58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0"/>
                  <c:spPr>
                    <a:solidFill>
                      <a:schemeClr val="accent5">
                        <a:shade val="58000"/>
                      </a:schemeClr>
                    </a:solidFill>
                    <a:ln w="9525">
                      <a:solidFill>
                        <a:schemeClr val="accent5">
                          <a:shade val="58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'AFI (wkly)'!$C$5:$F$5</c15:sqref>
                        </c15:formulaRef>
                      </c:ext>
                    </c:extLst>
                    <c:strCache>
                      <c:ptCount val="4"/>
                      <c:pt idx="0">
                        <c:v>wk1 </c:v>
                      </c:pt>
                      <c:pt idx="1">
                        <c:v>wk2</c:v>
                      </c:pt>
                      <c:pt idx="2">
                        <c:v>wk3 </c:v>
                      </c:pt>
                      <c:pt idx="3">
                        <c:v>wk4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'AFI (wkly)'!$C$6:$F$6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501</c:v>
                      </c:pt>
                      <c:pt idx="1">
                        <c:v>501</c:v>
                      </c:pt>
                      <c:pt idx="2">
                        <c:v>501</c:v>
                      </c:pt>
                      <c:pt idx="3">
                        <c:v>496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7B7-4482-8F68-7F49157FC78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'AFI (wkly)'!$B$7</c15:sqref>
                        </c15:formulaRef>
                      </c:ext>
                    </c:extLst>
                    <c:strCache>
                      <c:ptCount val="1"/>
                      <c:pt idx="0">
                        <c:v>DRYER/COALMILL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10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'AFI (wkly)'!$C$5:$F$5</c15:sqref>
                        </c15:formulaRef>
                      </c:ext>
                    </c:extLst>
                    <c:strCache>
                      <c:ptCount val="4"/>
                      <c:pt idx="0">
                        <c:v>wk1 </c:v>
                      </c:pt>
                      <c:pt idx="1">
                        <c:v>wk2</c:v>
                      </c:pt>
                      <c:pt idx="2">
                        <c:v>wk3 </c:v>
                      </c:pt>
                      <c:pt idx="3">
                        <c:v>wk4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'AFI (wkly)'!$C$7:$F$7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301</c:v>
                      </c:pt>
                      <c:pt idx="1">
                        <c:v>292</c:v>
                      </c:pt>
                      <c:pt idx="2">
                        <c:v>287</c:v>
                      </c:pt>
                      <c:pt idx="3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E7B7-4482-8F68-7F49157FC78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'AFI (wkly)'!$B$9</c15:sqref>
                        </c15:formulaRef>
                      </c:ext>
                    </c:extLst>
                    <c:strCache>
                      <c:ptCount val="1"/>
                      <c:pt idx="0">
                        <c:v>CONVERTER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tint val="58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tint val="58000"/>
                      </a:schemeClr>
                    </a:solidFill>
                    <a:ln w="9525">
                      <a:solidFill>
                        <a:schemeClr val="accent5">
                          <a:tint val="58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'AFI (wkly)'!$C$5:$F$5</c15:sqref>
                        </c15:formulaRef>
                      </c:ext>
                    </c:extLst>
                    <c:strCache>
                      <c:ptCount val="4"/>
                      <c:pt idx="0">
                        <c:v>wk1 </c:v>
                      </c:pt>
                      <c:pt idx="1">
                        <c:v>wk2</c:v>
                      </c:pt>
                      <c:pt idx="2">
                        <c:v>wk3 </c:v>
                      </c:pt>
                      <c:pt idx="3">
                        <c:v>wk4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'AFI (wkly)'!$C$9:$F$9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7B7-4482-8F68-7F49157FC783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baseline="0">
                <a:solidFill>
                  <a:sysClr val="windowText" lastClr="000000"/>
                </a:solidFill>
              </a:rPr>
              <a:t>CONVERTER</a:t>
            </a:r>
            <a:endParaRPr lang="en-US" sz="14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4305641550037152"/>
          <c:y val="1.95714969510442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'AFI (wkly)'!$B$9</c:f>
              <c:strCache>
                <c:ptCount val="1"/>
                <c:pt idx="0">
                  <c:v>CONVERTER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'AFI (wkly)'!$C$5:$F$5</c:f>
              <c:strCache>
                <c:ptCount val="4"/>
                <c:pt idx="0">
                  <c:v>wk1 </c:v>
                </c:pt>
                <c:pt idx="1">
                  <c:v>wk2</c:v>
                </c:pt>
                <c:pt idx="2">
                  <c:v>wk3 </c:v>
                </c:pt>
                <c:pt idx="3">
                  <c:v>wk4</c:v>
                </c:pt>
              </c:strCache>
              <c:extLst xmlns:c15="http://schemas.microsoft.com/office/drawing/2012/chart"/>
            </c:strRef>
          </c:cat>
          <c:val>
            <c:numRef>
              <c:f>'AFI (wkly)'!$C$9:$F$9</c:f>
              <c:numCache>
                <c:formatCode>0</c:formatCode>
                <c:ptCount val="4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906-4FD7-9570-E0DCB46EE4C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'AFI (wkly)'!$B$6</c15:sqref>
                        </c15:formulaRef>
                      </c:ext>
                    </c:extLst>
                    <c:strCache>
                      <c:ptCount val="1"/>
                      <c:pt idx="0">
                        <c:v>KILN - CTT - CRANE - DOS - SULPHUR MELTER - SLCU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shade val="58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0"/>
                  <c:spPr>
                    <a:solidFill>
                      <a:schemeClr val="accent5">
                        <a:shade val="58000"/>
                      </a:schemeClr>
                    </a:solidFill>
                    <a:ln w="9525">
                      <a:solidFill>
                        <a:schemeClr val="accent5">
                          <a:shade val="58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'AFI (wkly)'!$C$5:$F$5</c15:sqref>
                        </c15:formulaRef>
                      </c:ext>
                    </c:extLst>
                    <c:strCache>
                      <c:ptCount val="4"/>
                      <c:pt idx="0">
                        <c:v>wk1 </c:v>
                      </c:pt>
                      <c:pt idx="1">
                        <c:v>wk2</c:v>
                      </c:pt>
                      <c:pt idx="2">
                        <c:v>wk3 </c:v>
                      </c:pt>
                      <c:pt idx="3">
                        <c:v>wk4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'AFI (wkly)'!$C$6:$F$6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501</c:v>
                      </c:pt>
                      <c:pt idx="1">
                        <c:v>501</c:v>
                      </c:pt>
                      <c:pt idx="2">
                        <c:v>501</c:v>
                      </c:pt>
                      <c:pt idx="3">
                        <c:v>496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906-4FD7-9570-E0DCB46EE4C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'AFI (wkly)'!$B$7</c15:sqref>
                        </c15:formulaRef>
                      </c:ext>
                    </c:extLst>
                    <c:strCache>
                      <c:ptCount val="1"/>
                      <c:pt idx="0">
                        <c:v>DRYER/COALMILL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10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'AFI (wkly)'!$C$5:$F$5</c15:sqref>
                        </c15:formulaRef>
                      </c:ext>
                    </c:extLst>
                    <c:strCache>
                      <c:ptCount val="4"/>
                      <c:pt idx="0">
                        <c:v>wk1 </c:v>
                      </c:pt>
                      <c:pt idx="1">
                        <c:v>wk2</c:v>
                      </c:pt>
                      <c:pt idx="2">
                        <c:v>wk3 </c:v>
                      </c:pt>
                      <c:pt idx="3">
                        <c:v>wk4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'AFI (wkly)'!$C$7:$F$7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301</c:v>
                      </c:pt>
                      <c:pt idx="1">
                        <c:v>292</c:v>
                      </c:pt>
                      <c:pt idx="2">
                        <c:v>287</c:v>
                      </c:pt>
                      <c:pt idx="3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906-4FD7-9570-E0DCB46EE4C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'AFI (wkly)'!$B$8</c15:sqref>
                        </c15:formulaRef>
                      </c:ext>
                    </c:extLst>
                    <c:strCache>
                      <c:ptCount val="1"/>
                      <c:pt idx="0">
                        <c:v>FURNACE</c:v>
                      </c:pt>
                    </c:strCache>
                  </c:strRef>
                </c:tx>
                <c:spPr>
                  <a:ln w="28575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circle"/>
                  <c:size val="10"/>
                  <c:spPr>
                    <a:solidFill>
                      <a:srgbClr val="C00000"/>
                    </a:solidFill>
                    <a:ln w="9525">
                      <a:solidFill>
                        <a:srgbClr val="C00000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'AFI (wkly)'!$C$5:$F$5</c15:sqref>
                        </c15:formulaRef>
                      </c:ext>
                    </c:extLst>
                    <c:strCache>
                      <c:ptCount val="4"/>
                      <c:pt idx="0">
                        <c:v>wk1 </c:v>
                      </c:pt>
                      <c:pt idx="1">
                        <c:v>wk2</c:v>
                      </c:pt>
                      <c:pt idx="2">
                        <c:v>wk3 </c:v>
                      </c:pt>
                      <c:pt idx="3">
                        <c:v>wk4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'AFI (wkly)'!$C$8:$F$8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5906-4FD7-9570-E0DCB46EE4CD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'TES1'!$C$5</c:f>
              <c:strCache>
                <c:ptCount val="1"/>
                <c:pt idx="0">
                  <c:v>wk3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'TES1'!$B$6:$B$7</c:f>
              <c:strCache>
                <c:ptCount val="2"/>
                <c:pt idx="0">
                  <c:v>Shortbranches</c:v>
                </c:pt>
                <c:pt idx="1">
                  <c:v>Forces</c:v>
                </c:pt>
              </c:strCache>
            </c:strRef>
          </c:cat>
          <c:val>
            <c:numRef>
              <c:f>'TES1'!$C$6:$C$7</c:f>
              <c:numCache>
                <c:formatCode>0</c:formatCode>
                <c:ptCount val="2"/>
                <c:pt idx="0">
                  <c:v>14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EB-4571-8FDF-7F4F245DC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8617096"/>
        <c:axId val="1108613136"/>
      </c:barChart>
      <c:catAx>
        <c:axId val="1108617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613136"/>
        <c:crosses val="autoZero"/>
        <c:auto val="1"/>
        <c:lblAlgn val="ctr"/>
        <c:lblOffset val="100"/>
        <c:noMultiLvlLbl val="0"/>
      </c:catAx>
      <c:valAx>
        <c:axId val="110861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617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Dryer-CM</a:t>
            </a:r>
            <a:r>
              <a:rPr lang="en-US" baseline="0"/>
              <a:t> Shortbranches &amp; Forces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'TES1'!$C$5</c:f>
              <c:strCache>
                <c:ptCount val="1"/>
                <c:pt idx="0">
                  <c:v>wk3</c:v>
                </c:pt>
              </c:strCache>
            </c:strRef>
          </c:tx>
          <c:dPt>
            <c:idx val="0"/>
            <c:bubble3D val="0"/>
            <c:explosion val="81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188-4049-B62E-37C61B4B848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B0A-4728-A05B-548BEC1B91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'TES1'!$B$6:$B$7</c:f>
              <c:strCache>
                <c:ptCount val="2"/>
                <c:pt idx="0">
                  <c:v>Shortbranches</c:v>
                </c:pt>
                <c:pt idx="1">
                  <c:v>Forces</c:v>
                </c:pt>
              </c:strCache>
            </c:strRef>
          </c:cat>
          <c:val>
            <c:numRef>
              <c:f>'TES1'!$C$6:$C$7</c:f>
              <c:numCache>
                <c:formatCode>0</c:formatCode>
                <c:ptCount val="2"/>
                <c:pt idx="0">
                  <c:v>14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88-4049-B62E-37C61B4B848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'TES1'!$C$33</c:f>
              <c:strCache>
                <c:ptCount val="1"/>
                <c:pt idx="0">
                  <c:v>wk3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F2C-41F2-B6A7-B26EDBB8D09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F2C-41F2-B6A7-B26EDBB8D0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'TES1'!$B$34:$B$35</c:f>
              <c:strCache>
                <c:ptCount val="2"/>
                <c:pt idx="0">
                  <c:v>Shortbranches</c:v>
                </c:pt>
                <c:pt idx="1">
                  <c:v>Forces</c:v>
                </c:pt>
              </c:strCache>
            </c:strRef>
          </c:cat>
          <c:val>
            <c:numRef>
              <c:f>'TES1'!$C$34:$C$35</c:f>
              <c:numCache>
                <c:formatCode>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49-4FA2-9AE6-3E9E08EFB5A6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KILN - CTT - CRANE - DOS - SULPHUR MELTER - SLCU</a:t>
            </a:r>
            <a:endParaRPr lang="en-US" b="1"/>
          </a:p>
        </c:rich>
      </c:tx>
      <c:layout>
        <c:manualLayout>
          <c:xMode val="edge"/>
          <c:yMode val="edge"/>
          <c:x val="0.34203908698766705"/>
          <c:y val="1.57880734986619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73122411781860597"/>
        </c:manualLayout>
      </c:layout>
      <c:lineChart>
        <c:grouping val="standard"/>
        <c:varyColors val="0"/>
        <c:ser>
          <c:idx val="0"/>
          <c:order val="0"/>
          <c:tx>
            <c:strRef>
              <c:f>'Forces (wkly)'!$B$6</c:f>
              <c:strCache>
                <c:ptCount val="1"/>
                <c:pt idx="0">
                  <c:v>KILN - CTT - CRANE - DOS - SULPHUR MELTER - SLCU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'Forces (wkly)'!$C$5:$F$5</c:f>
              <c:strCache>
                <c:ptCount val="4"/>
                <c:pt idx="0">
                  <c:v>wk52 (2024)</c:v>
                </c:pt>
                <c:pt idx="1">
                  <c:v>wk1</c:v>
                </c:pt>
                <c:pt idx="2">
                  <c:v>wk2 </c:v>
                </c:pt>
                <c:pt idx="3">
                  <c:v>wk3</c:v>
                </c:pt>
              </c:strCache>
            </c:strRef>
          </c:cat>
          <c:val>
            <c:numRef>
              <c:f>'Forces (wkly)'!$C$6:$F$6</c:f>
              <c:numCache>
                <c:formatCode>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FE-4A64-86F8-16447E3251A7}"/>
            </c:ext>
          </c:extLst>
        </c:ser>
        <c:ser>
          <c:idx val="1"/>
          <c:order val="1"/>
          <c:tx>
            <c:strRef>
              <c:f>'Forces (wkly)'!$B$7</c:f>
              <c:strCache>
                <c:ptCount val="1"/>
                <c:pt idx="0">
                  <c:v>DRYER/COALMILL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elete val="1"/>
          </c:dLbls>
          <c:cat>
            <c:strRef>
              <c:f>'Forces (wkly)'!$C$5:$F$5</c:f>
              <c:strCache>
                <c:ptCount val="4"/>
                <c:pt idx="0">
                  <c:v>wk52 (2024)</c:v>
                </c:pt>
                <c:pt idx="1">
                  <c:v>wk1</c:v>
                </c:pt>
                <c:pt idx="2">
                  <c:v>wk2 </c:v>
                </c:pt>
                <c:pt idx="3">
                  <c:v>wk3</c:v>
                </c:pt>
              </c:strCache>
            </c:strRef>
          </c:cat>
          <c:val>
            <c:numRef>
              <c:f>'Forces (wkly)'!$C$7:$F$7</c:f>
              <c:numCache>
                <c:formatCode>0</c:formatCode>
                <c:ptCount val="4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B3FE-4A64-86F8-16447E3251A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'Forces (wkly)'!$B$9</c15:sqref>
                        </c15:formulaRef>
                      </c:ext>
                    </c:extLst>
                    <c:strCache>
                      <c:ptCount val="1"/>
                      <c:pt idx="0">
                        <c:v>CONVERTER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ormulaRef>
                          <c15:sqref>'Forces (wkly)'!$C$5:$F$5</c15:sqref>
                        </c15:formulaRef>
                      </c:ext>
                    </c:extLst>
                    <c:strCache>
                      <c:ptCount val="4"/>
                      <c:pt idx="0">
                        <c:v>wk52 (2024)</c:v>
                      </c:pt>
                      <c:pt idx="1">
                        <c:v>wk1</c:v>
                      </c:pt>
                      <c:pt idx="2">
                        <c:v>wk2 </c:v>
                      </c:pt>
                      <c:pt idx="3">
                        <c:v>wk3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'Forces (wkly)'!$C$9:$F$9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1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B3FE-4A64-86F8-16447E3251A7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DRYER/COALMILL</a:t>
            </a:r>
            <a:endParaRPr lang="en-US" b="1"/>
          </a:p>
        </c:rich>
      </c:tx>
      <c:layout>
        <c:manualLayout>
          <c:xMode val="edge"/>
          <c:yMode val="edge"/>
          <c:x val="0.44064335511828456"/>
          <c:y val="1.83373042715519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73122411781860597"/>
        </c:manualLayout>
      </c:layout>
      <c:lineChart>
        <c:grouping val="standard"/>
        <c:varyColors val="0"/>
        <c:ser>
          <c:idx val="0"/>
          <c:order val="0"/>
          <c:tx>
            <c:strRef>
              <c:f>'Forces (wkly)'!$B$6</c:f>
              <c:strCache>
                <c:ptCount val="1"/>
                <c:pt idx="0">
                  <c:v>KILN - CTT - CRANE - DOS - SULPHUR MELTER - SLCU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elete val="1"/>
          </c:dLbls>
          <c:cat>
            <c:strRef>
              <c:f>'Forces (wkly)'!$C$5:$F$5</c:f>
              <c:strCache>
                <c:ptCount val="4"/>
                <c:pt idx="0">
                  <c:v>wk52 (2024)</c:v>
                </c:pt>
                <c:pt idx="1">
                  <c:v>wk1</c:v>
                </c:pt>
                <c:pt idx="2">
                  <c:v>wk2 </c:v>
                </c:pt>
                <c:pt idx="3">
                  <c:v>wk3</c:v>
                </c:pt>
              </c:strCache>
            </c:strRef>
          </c:cat>
          <c:val>
            <c:numRef>
              <c:f>'Forces (wkly)'!$C$6:$F$6</c:f>
              <c:numCache>
                <c:formatCode>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072C-43C4-B340-F158E5A35387}"/>
            </c:ext>
          </c:extLst>
        </c:ser>
        <c:ser>
          <c:idx val="1"/>
          <c:order val="1"/>
          <c:tx>
            <c:strRef>
              <c:f>'Forces (wkly)'!$B$7</c:f>
              <c:strCache>
                <c:ptCount val="1"/>
                <c:pt idx="0">
                  <c:v>DRYER/COALMILL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'Forces (wkly)'!$C$5:$F$5</c:f>
              <c:strCache>
                <c:ptCount val="4"/>
                <c:pt idx="0">
                  <c:v>wk52 (2024)</c:v>
                </c:pt>
                <c:pt idx="1">
                  <c:v>wk1</c:v>
                </c:pt>
                <c:pt idx="2">
                  <c:v>wk2 </c:v>
                </c:pt>
                <c:pt idx="3">
                  <c:v>wk3</c:v>
                </c:pt>
              </c:strCache>
            </c:strRef>
          </c:cat>
          <c:val>
            <c:numRef>
              <c:f>'Forces (wkly)'!$C$7:$F$7</c:f>
              <c:numCache>
                <c:formatCode>0</c:formatCode>
                <c:ptCount val="4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2C-43C4-B340-F158E5A35387}"/>
            </c:ext>
          </c:extLst>
        </c:ser>
        <c:ser>
          <c:idx val="2"/>
          <c:order val="2"/>
          <c:tx>
            <c:strRef>
              <c:f>'Forces (wkly)'!$B$8</c:f>
              <c:strCache>
                <c:ptCount val="1"/>
                <c:pt idx="0">
                  <c:v>FURNACE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elete val="1"/>
          </c:dLbls>
          <c:cat>
            <c:strRef>
              <c:f>'Forces (wkly)'!$C$5:$F$5</c:f>
              <c:strCache>
                <c:ptCount val="4"/>
                <c:pt idx="0">
                  <c:v>wk52 (2024)</c:v>
                </c:pt>
                <c:pt idx="1">
                  <c:v>wk1</c:v>
                </c:pt>
                <c:pt idx="2">
                  <c:v>wk2 </c:v>
                </c:pt>
                <c:pt idx="3">
                  <c:v>wk3</c:v>
                </c:pt>
              </c:strCache>
            </c:strRef>
          </c:cat>
          <c:val>
            <c:numRef>
              <c:f>'Forces (wkly)'!$C$8:$F$8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072C-43C4-B340-F158E5A35387}"/>
            </c:ext>
          </c:extLst>
        </c:ser>
        <c:ser>
          <c:idx val="3"/>
          <c:order val="3"/>
          <c:tx>
            <c:strRef>
              <c:f>'Forces (wkly)'!$B$9</c:f>
              <c:strCache>
                <c:ptCount val="1"/>
                <c:pt idx="0">
                  <c:v>CONVERTER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elete val="1"/>
          </c:dLbls>
          <c:cat>
            <c:strRef>
              <c:f>'Forces (wkly)'!$C$5:$F$5</c:f>
              <c:strCache>
                <c:ptCount val="4"/>
                <c:pt idx="0">
                  <c:v>wk52 (2024)</c:v>
                </c:pt>
                <c:pt idx="1">
                  <c:v>wk1</c:v>
                </c:pt>
                <c:pt idx="2">
                  <c:v>wk2 </c:v>
                </c:pt>
                <c:pt idx="3">
                  <c:v>wk3</c:v>
                </c:pt>
              </c:strCache>
            </c:strRef>
          </c:cat>
          <c:val>
            <c:numRef>
              <c:f>'Forces (wkly)'!$C$9:$F$9</c:f>
              <c:numCache>
                <c:formatCode>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072C-43C4-B340-F158E5A3538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/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FURNACE</a:t>
            </a:r>
          </a:p>
        </c:rich>
      </c:tx>
      <c:layout>
        <c:manualLayout>
          <c:xMode val="edge"/>
          <c:yMode val="edge"/>
          <c:x val="0.44064335511828456"/>
          <c:y val="1.83373042715519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73122411781860597"/>
        </c:manualLayout>
      </c:layout>
      <c:lineChart>
        <c:grouping val="standard"/>
        <c:varyColors val="0"/>
        <c:ser>
          <c:idx val="0"/>
          <c:order val="0"/>
          <c:tx>
            <c:strRef>
              <c:f>'Forces (wkly)'!$B$6</c:f>
              <c:strCache>
                <c:ptCount val="1"/>
                <c:pt idx="0">
                  <c:v>KILN - CTT - CRANE - DOS - SULPHUR MELTER - SLCU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'Forces (wkly)'!$C$5:$F$5</c:f>
              <c:strCache>
                <c:ptCount val="4"/>
                <c:pt idx="0">
                  <c:v>wk52 (2024)</c:v>
                </c:pt>
                <c:pt idx="1">
                  <c:v>wk1</c:v>
                </c:pt>
                <c:pt idx="2">
                  <c:v>wk2 </c:v>
                </c:pt>
                <c:pt idx="3">
                  <c:v>wk3</c:v>
                </c:pt>
              </c:strCache>
            </c:strRef>
          </c:cat>
          <c:val>
            <c:numRef>
              <c:f>'Forces (wkly)'!$C$6:$F$6</c:f>
              <c:numCache>
                <c:formatCode>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8E25-49F6-9F3E-81742618B1C1}"/>
            </c:ext>
          </c:extLst>
        </c:ser>
        <c:ser>
          <c:idx val="1"/>
          <c:order val="1"/>
          <c:tx>
            <c:strRef>
              <c:f>'Forces (wkly)'!$B$7</c:f>
              <c:strCache>
                <c:ptCount val="1"/>
                <c:pt idx="0">
                  <c:v>DRYER/COALMILL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'Forces (wkly)'!$C$5:$F$5</c:f>
              <c:strCache>
                <c:ptCount val="4"/>
                <c:pt idx="0">
                  <c:v>wk52 (2024)</c:v>
                </c:pt>
                <c:pt idx="1">
                  <c:v>wk1</c:v>
                </c:pt>
                <c:pt idx="2">
                  <c:v>wk2 </c:v>
                </c:pt>
                <c:pt idx="3">
                  <c:v>wk3</c:v>
                </c:pt>
              </c:strCache>
            </c:strRef>
          </c:cat>
          <c:val>
            <c:numRef>
              <c:f>'Forces (wkly)'!$C$7:$F$7</c:f>
              <c:numCache>
                <c:formatCode>0</c:formatCode>
                <c:ptCount val="4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E25-49F6-9F3E-81742618B1C1}"/>
            </c:ext>
          </c:extLst>
        </c:ser>
        <c:ser>
          <c:idx val="2"/>
          <c:order val="2"/>
          <c:tx>
            <c:strRef>
              <c:f>'Forces (wkly)'!$B$8</c:f>
              <c:strCache>
                <c:ptCount val="1"/>
                <c:pt idx="0">
                  <c:v>FURNACE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'Forces (wkly)'!$C$5:$F$5</c:f>
              <c:strCache>
                <c:ptCount val="4"/>
                <c:pt idx="0">
                  <c:v>wk52 (2024)</c:v>
                </c:pt>
                <c:pt idx="1">
                  <c:v>wk1</c:v>
                </c:pt>
                <c:pt idx="2">
                  <c:v>wk2 </c:v>
                </c:pt>
                <c:pt idx="3">
                  <c:v>wk3</c:v>
                </c:pt>
              </c:strCache>
            </c:strRef>
          </c:cat>
          <c:val>
            <c:numRef>
              <c:f>'Forces (wkly)'!$C$8:$F$8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25-49F6-9F3E-81742618B1C1}"/>
            </c:ext>
          </c:extLst>
        </c:ser>
        <c:ser>
          <c:idx val="3"/>
          <c:order val="3"/>
          <c:tx>
            <c:strRef>
              <c:f>'Forces (wkly)'!$B$9</c:f>
              <c:strCache>
                <c:ptCount val="1"/>
                <c:pt idx="0">
                  <c:v>CONVERTER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'Forces (wkly)'!$C$5:$F$5</c:f>
              <c:strCache>
                <c:ptCount val="4"/>
                <c:pt idx="0">
                  <c:v>wk52 (2024)</c:v>
                </c:pt>
                <c:pt idx="1">
                  <c:v>wk1</c:v>
                </c:pt>
                <c:pt idx="2">
                  <c:v>wk2 </c:v>
                </c:pt>
                <c:pt idx="3">
                  <c:v>wk3</c:v>
                </c:pt>
              </c:strCache>
            </c:strRef>
          </c:cat>
          <c:val>
            <c:numRef>
              <c:f>'Forces (wkly)'!$C$9:$F$9</c:f>
              <c:numCache>
                <c:formatCode>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E25-49F6-9F3E-81742618B1C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/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CONVERTER</a:t>
            </a:r>
          </a:p>
        </c:rich>
      </c:tx>
      <c:layout>
        <c:manualLayout>
          <c:xMode val="edge"/>
          <c:yMode val="edge"/>
          <c:x val="0.46255540773067566"/>
          <c:y val="1.83373042715519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73122411781860597"/>
        </c:manualLayout>
      </c:layout>
      <c:lineChart>
        <c:grouping val="standard"/>
        <c:varyColors val="0"/>
        <c:ser>
          <c:idx val="3"/>
          <c:order val="3"/>
          <c:tx>
            <c:strRef>
              <c:f>'Forces (wkly)'!$B$9</c:f>
              <c:strCache>
                <c:ptCount val="1"/>
                <c:pt idx="0">
                  <c:v>CONVERTER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'Forces (wkly)'!$C$5:$F$5</c:f>
              <c:strCache>
                <c:ptCount val="4"/>
                <c:pt idx="0">
                  <c:v>wk52 (2024)</c:v>
                </c:pt>
                <c:pt idx="1">
                  <c:v>wk1</c:v>
                </c:pt>
                <c:pt idx="2">
                  <c:v>wk2 </c:v>
                </c:pt>
                <c:pt idx="3">
                  <c:v>wk3</c:v>
                </c:pt>
              </c:strCache>
            </c:strRef>
          </c:cat>
          <c:val>
            <c:numRef>
              <c:f>'Forces (wkly)'!$C$9:$F$9</c:f>
              <c:numCache>
                <c:formatCode>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7A-4DDD-A72A-360B21F335D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'Forces (wkly)'!$B$6</c15:sqref>
                        </c15:formulaRef>
                      </c:ext>
                    </c:extLst>
                    <c:strCache>
                      <c:ptCount val="1"/>
                      <c:pt idx="0">
                        <c:v>KILN - CTT - CRANE - DOS - SULPHUR MELTER - SLCU</c:v>
                      </c:pt>
                    </c:strCache>
                  </c:strRef>
                </c:tx>
                <c:spPr>
                  <a:ln w="28575" cap="rnd">
                    <a:solidFill>
                      <a:schemeClr val="bg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bg1">
                        <a:lumMod val="50000"/>
                      </a:schemeClr>
                    </a:solidFill>
                    <a:ln w="9525">
                      <a:solidFill>
                        <a:schemeClr val="bg1">
                          <a:lumMod val="5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0"/>
                    <c:layout>
                      <c:manualLayout>
                        <c:x val="-1.1039641301968465E-2"/>
                        <c:y val="-2.366801624969516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A77A-4DDD-A72A-360B21F335D5}"/>
                      </c:ext>
                    </c:extLst>
                  </c:dLbl>
                  <c:dLbl>
                    <c:idx val="1"/>
                    <c:layout>
                      <c:manualLayout>
                        <c:x val="-1.2872325044312632E-2"/>
                        <c:y val="-2.757483845716998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A77A-4DDD-A72A-360B21F335D5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'Forces (wkly)'!$C$5:$F$5</c15:sqref>
                        </c15:formulaRef>
                      </c:ext>
                    </c:extLst>
                    <c:strCache>
                      <c:ptCount val="4"/>
                      <c:pt idx="0">
                        <c:v>wk52 (2024)</c:v>
                      </c:pt>
                      <c:pt idx="1">
                        <c:v>wk1</c:v>
                      </c:pt>
                      <c:pt idx="2">
                        <c:v>wk2 </c:v>
                      </c:pt>
                      <c:pt idx="3">
                        <c:v>wk3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'Forces (wkly)'!$C$6:$F$6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77A-4DDD-A72A-360B21F335D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'Forces (wkly)'!$B$7</c15:sqref>
                        </c15:formulaRef>
                      </c:ext>
                    </c:extLst>
                    <c:strCache>
                      <c:ptCount val="1"/>
                      <c:pt idx="0">
                        <c:v>DRYER/COALMILL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'Forces (wkly)'!$C$5:$F$5</c15:sqref>
                        </c15:formulaRef>
                      </c:ext>
                    </c:extLst>
                    <c:strCache>
                      <c:ptCount val="4"/>
                      <c:pt idx="0">
                        <c:v>wk52 (2024)</c:v>
                      </c:pt>
                      <c:pt idx="1">
                        <c:v>wk1</c:v>
                      </c:pt>
                      <c:pt idx="2">
                        <c:v>wk2 </c:v>
                      </c:pt>
                      <c:pt idx="3">
                        <c:v>wk3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'Forces (wkly)'!$C$7:$F$7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8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77A-4DDD-A72A-360B21F335D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'Forces (wkly)'!$B$8</c15:sqref>
                        </c15:formulaRef>
                      </c:ext>
                    </c:extLst>
                    <c:strCache>
                      <c:ptCount val="1"/>
                      <c:pt idx="0">
                        <c:v>FURNACE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dLbl>
                    <c:idx val="0"/>
                    <c:layout>
                      <c:manualLayout>
                        <c:x val="-8.475413572369828E-3"/>
                        <c:y val="-1.109109001166444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5-A77A-4DDD-A72A-360B21F335D5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'Forces (wkly)'!$C$5:$F$5</c15:sqref>
                        </c15:formulaRef>
                      </c:ext>
                    </c:extLst>
                    <c:strCache>
                      <c:ptCount val="4"/>
                      <c:pt idx="0">
                        <c:v>wk52 (2024)</c:v>
                      </c:pt>
                      <c:pt idx="1">
                        <c:v>wk1</c:v>
                      </c:pt>
                      <c:pt idx="2">
                        <c:v>wk2 </c:v>
                      </c:pt>
                      <c:pt idx="3">
                        <c:v>wk3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'Forces (wkly)'!$C$8:$F$8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77A-4DDD-A72A-360B21F335D5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KILN - CTT - CRANE - DOS - SULPHUR MELTER - SLCU</a:t>
            </a:r>
            <a:endParaRPr lang="en-US" b="1"/>
          </a:p>
        </c:rich>
      </c:tx>
      <c:layout>
        <c:manualLayout>
          <c:xMode val="edge"/>
          <c:yMode val="edge"/>
          <c:x val="0.34203908698766705"/>
          <c:y val="1.57880734986619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73122411781860597"/>
        </c:manualLayout>
      </c:layout>
      <c:lineChart>
        <c:grouping val="standard"/>
        <c:varyColors val="0"/>
        <c:ser>
          <c:idx val="0"/>
          <c:order val="0"/>
          <c:tx>
            <c:strRef>
              <c:f>'Short Branches (wkly)'!$B$6</c:f>
              <c:strCache>
                <c:ptCount val="1"/>
                <c:pt idx="0">
                  <c:v>KILN - CTT - CRANE - DOS - SULPHUR MELTER - SLCU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'Short Branches (wkly)'!$C$5:$F$5</c:f>
              <c:strCache>
                <c:ptCount val="4"/>
                <c:pt idx="0">
                  <c:v>wk52(2024)</c:v>
                </c:pt>
                <c:pt idx="1">
                  <c:v>wk1</c:v>
                </c:pt>
                <c:pt idx="2">
                  <c:v>wk2 </c:v>
                </c:pt>
                <c:pt idx="3">
                  <c:v>wk3</c:v>
                </c:pt>
              </c:strCache>
            </c:strRef>
          </c:cat>
          <c:val>
            <c:numRef>
              <c:f>'Short Branches (wkly)'!$C$6:$F$6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53-426D-B375-320E54442C5C}"/>
            </c:ext>
          </c:extLst>
        </c:ser>
        <c:ser>
          <c:idx val="1"/>
          <c:order val="1"/>
          <c:tx>
            <c:strRef>
              <c:f>'Short Branches (wkly)'!$B$7</c:f>
              <c:strCache>
                <c:ptCount val="1"/>
                <c:pt idx="0">
                  <c:v>DRYER/COALMILL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elete val="1"/>
          </c:dLbls>
          <c:cat>
            <c:strRef>
              <c:f>'Short Branches (wkly)'!$C$5:$F$5</c:f>
              <c:strCache>
                <c:ptCount val="4"/>
                <c:pt idx="0">
                  <c:v>wk52(2024)</c:v>
                </c:pt>
                <c:pt idx="1">
                  <c:v>wk1</c:v>
                </c:pt>
                <c:pt idx="2">
                  <c:v>wk2 </c:v>
                </c:pt>
                <c:pt idx="3">
                  <c:v>wk3</c:v>
                </c:pt>
              </c:strCache>
            </c:strRef>
          </c:cat>
          <c:val>
            <c:numRef>
              <c:f>'Short Branches (wkly)'!$C$7:$F$7</c:f>
              <c:numCache>
                <c:formatCode>0</c:formatCode>
                <c:ptCount val="4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853-426D-B375-320E54442C5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'Short Branches (wkly)'!$B$8</c15:sqref>
                        </c15:formulaRef>
                      </c:ext>
                    </c:extLst>
                    <c:strCache>
                      <c:ptCount val="1"/>
                      <c:pt idx="0">
                        <c:v>FURNACE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dLbl>
                    <c:idx val="0"/>
                    <c:layout>
                      <c:manualLayout>
                        <c:x val="-8.475413572369828E-3"/>
                        <c:y val="-1.109109001166444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5853-426D-B375-320E54442C5C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'Short Branches (wkly)'!$C$5:$F$5</c15:sqref>
                        </c15:formulaRef>
                      </c:ext>
                    </c:extLst>
                    <c:strCache>
                      <c:ptCount val="4"/>
                      <c:pt idx="0">
                        <c:v>wk52(2024)</c:v>
                      </c:pt>
                      <c:pt idx="1">
                        <c:v>wk1</c:v>
                      </c:pt>
                      <c:pt idx="2">
                        <c:v>wk2 </c:v>
                      </c:pt>
                      <c:pt idx="3">
                        <c:v>wk3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'Short Branches (wkly)'!$C$8:$F$8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1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5853-426D-B375-320E54442C5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'Short Branches (wkly)'!$B$9</c15:sqref>
                        </c15:formulaRef>
                      </c:ext>
                    </c:extLst>
                    <c:strCache>
                      <c:ptCount val="1"/>
                      <c:pt idx="0">
                        <c:v>CONVERTER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'Short Branches (wkly)'!$C$5:$F$5</c15:sqref>
                        </c15:formulaRef>
                      </c:ext>
                    </c:extLst>
                    <c:strCache>
                      <c:ptCount val="4"/>
                      <c:pt idx="0">
                        <c:v>wk52(2024)</c:v>
                      </c:pt>
                      <c:pt idx="1">
                        <c:v>wk1</c:v>
                      </c:pt>
                      <c:pt idx="2">
                        <c:v>wk2 </c:v>
                      </c:pt>
                      <c:pt idx="3">
                        <c:v>wk3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'Short Branches (wkly)'!$C$9:$F$9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853-426D-B375-320E54442C5C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DRYER/COALMILL</a:t>
            </a:r>
            <a:endParaRPr lang="en-US" b="1"/>
          </a:p>
        </c:rich>
      </c:tx>
      <c:layout>
        <c:manualLayout>
          <c:xMode val="edge"/>
          <c:yMode val="edge"/>
          <c:x val="0.44064335511828456"/>
          <c:y val="1.83373042715519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73122411781860597"/>
        </c:manualLayout>
      </c:layout>
      <c:lineChart>
        <c:grouping val="standard"/>
        <c:varyColors val="0"/>
        <c:ser>
          <c:idx val="1"/>
          <c:order val="1"/>
          <c:tx>
            <c:strRef>
              <c:f>'Short Branches (wkly)'!$B$7</c:f>
              <c:strCache>
                <c:ptCount val="1"/>
                <c:pt idx="0">
                  <c:v>DRYER/COALMILL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'Short Branches (wkly)'!$C$5:$F$5</c:f>
              <c:strCache>
                <c:ptCount val="4"/>
                <c:pt idx="0">
                  <c:v>wk52(2024)</c:v>
                </c:pt>
                <c:pt idx="1">
                  <c:v>wk1</c:v>
                </c:pt>
                <c:pt idx="2">
                  <c:v>wk2 </c:v>
                </c:pt>
                <c:pt idx="3">
                  <c:v>wk3</c:v>
                </c:pt>
              </c:strCache>
            </c:strRef>
          </c:cat>
          <c:val>
            <c:numRef>
              <c:f>'Short Branches (wkly)'!$C$7:$F$7</c:f>
              <c:numCache>
                <c:formatCode>0</c:formatCode>
                <c:ptCount val="4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06-4282-9A7C-7BC9E0ECA5A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'Short Branches (wkly)'!$B$6</c15:sqref>
                        </c15:formulaRef>
                      </c:ext>
                    </c:extLst>
                    <c:strCache>
                      <c:ptCount val="1"/>
                      <c:pt idx="0">
                        <c:v>KILN - CTT - CRANE - DOS - SULPHUR MELTER - SLCU</c:v>
                      </c:pt>
                    </c:strCache>
                  </c:strRef>
                </c:tx>
                <c:spPr>
                  <a:ln w="28575" cap="rnd">
                    <a:solidFill>
                      <a:schemeClr val="bg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bg1">
                        <a:lumMod val="50000"/>
                      </a:schemeClr>
                    </a:solidFill>
                    <a:ln w="9525">
                      <a:solidFill>
                        <a:schemeClr val="bg1">
                          <a:lumMod val="5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0"/>
                    <c:layout>
                      <c:manualLayout>
                        <c:x val="-1.1039641301968465E-2"/>
                        <c:y val="-2.366801624969516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0E06-4282-9A7C-7BC9E0ECA5A6}"/>
                      </c:ext>
                    </c:extLst>
                  </c:dLbl>
                  <c:dLbl>
                    <c:idx val="1"/>
                    <c:layout>
                      <c:manualLayout>
                        <c:x val="-1.2872325044312632E-2"/>
                        <c:y val="-2.757483845716998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0E06-4282-9A7C-7BC9E0ECA5A6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'Short Branches (wkly)'!$C$5:$F$5</c15:sqref>
                        </c15:formulaRef>
                      </c:ext>
                    </c:extLst>
                    <c:strCache>
                      <c:ptCount val="4"/>
                      <c:pt idx="0">
                        <c:v>wk52(2024)</c:v>
                      </c:pt>
                      <c:pt idx="1">
                        <c:v>wk1</c:v>
                      </c:pt>
                      <c:pt idx="2">
                        <c:v>wk2 </c:v>
                      </c:pt>
                      <c:pt idx="3">
                        <c:v>wk3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'Short Branches (wkly)'!$C$6:$F$6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0E06-4282-9A7C-7BC9E0ECA5A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'Short Branches (wkly)'!$B$8</c15:sqref>
                        </c15:formulaRef>
                      </c:ext>
                    </c:extLst>
                    <c:strCache>
                      <c:ptCount val="1"/>
                      <c:pt idx="0">
                        <c:v>FURNACE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dLbl>
                    <c:idx val="0"/>
                    <c:layout>
                      <c:manualLayout>
                        <c:x val="-8.475413572369828E-3"/>
                        <c:y val="-1.109109001166444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5-0E06-4282-9A7C-7BC9E0ECA5A6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'Short Branches (wkly)'!$C$5:$F$5</c15:sqref>
                        </c15:formulaRef>
                      </c:ext>
                    </c:extLst>
                    <c:strCache>
                      <c:ptCount val="4"/>
                      <c:pt idx="0">
                        <c:v>wk52(2024)</c:v>
                      </c:pt>
                      <c:pt idx="1">
                        <c:v>wk1</c:v>
                      </c:pt>
                      <c:pt idx="2">
                        <c:v>wk2 </c:v>
                      </c:pt>
                      <c:pt idx="3">
                        <c:v>wk3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'Short Branches (wkly)'!$C$8:$F$8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1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E06-4282-9A7C-7BC9E0ECA5A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'Short Branches (wkly)'!$B$9</c15:sqref>
                        </c15:formulaRef>
                      </c:ext>
                    </c:extLst>
                    <c:strCache>
                      <c:ptCount val="1"/>
                      <c:pt idx="0">
                        <c:v>CONVERTER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'Short Branches (wkly)'!$C$5:$F$5</c15:sqref>
                        </c15:formulaRef>
                      </c:ext>
                    </c:extLst>
                    <c:strCache>
                      <c:ptCount val="4"/>
                      <c:pt idx="0">
                        <c:v>wk52(2024)</c:v>
                      </c:pt>
                      <c:pt idx="1">
                        <c:v>wk1</c:v>
                      </c:pt>
                      <c:pt idx="2">
                        <c:v>wk2 </c:v>
                      </c:pt>
                      <c:pt idx="3">
                        <c:v>wk3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'Short Branches (wkly)'!$C$9:$F$9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E06-4282-9A7C-7BC9E0ECA5A6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FURNACE</a:t>
            </a:r>
          </a:p>
        </c:rich>
      </c:tx>
      <c:layout>
        <c:manualLayout>
          <c:xMode val="edge"/>
          <c:yMode val="edge"/>
          <c:x val="0.44064335511828456"/>
          <c:y val="1.83373042715519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73122411781860597"/>
        </c:manualLayout>
      </c:layout>
      <c:lineChart>
        <c:grouping val="standard"/>
        <c:varyColors val="0"/>
        <c:ser>
          <c:idx val="2"/>
          <c:order val="2"/>
          <c:tx>
            <c:strRef>
              <c:f>'Short Branches (wkly)'!$B$8</c:f>
              <c:strCache>
                <c:ptCount val="1"/>
                <c:pt idx="0">
                  <c:v>FURNACE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7.3800559787207381E-3"/>
                  <c:y val="-5.29587518474235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1D6-443B-9C2D-BAD7116436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'Short Branches (wkly)'!$C$5:$F$5</c:f>
              <c:strCache>
                <c:ptCount val="4"/>
                <c:pt idx="0">
                  <c:v>wk52(2024)</c:v>
                </c:pt>
                <c:pt idx="1">
                  <c:v>wk1</c:v>
                </c:pt>
                <c:pt idx="2">
                  <c:v>wk2 </c:v>
                </c:pt>
                <c:pt idx="3">
                  <c:v>wk3</c:v>
                </c:pt>
              </c:strCache>
            </c:strRef>
          </c:cat>
          <c:val>
            <c:numRef>
              <c:f>'Short Branches (wkly)'!$C$8:$F$8</c:f>
              <c:numCache>
                <c:formatCode>0</c:formatCode>
                <c:ptCount val="4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D6-443B-9C2D-BAD71164362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'Short Branches (wkly)'!$B$6</c15:sqref>
                        </c15:formulaRef>
                      </c:ext>
                    </c:extLst>
                    <c:strCache>
                      <c:ptCount val="1"/>
                      <c:pt idx="0">
                        <c:v>KILN - CTT - CRANE - DOS - SULPHUR MELTER - SLCU</c:v>
                      </c:pt>
                    </c:strCache>
                  </c:strRef>
                </c:tx>
                <c:spPr>
                  <a:ln w="28575" cap="rnd">
                    <a:solidFill>
                      <a:schemeClr val="bg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bg1">
                        <a:lumMod val="50000"/>
                      </a:schemeClr>
                    </a:solidFill>
                    <a:ln w="9525">
                      <a:solidFill>
                        <a:schemeClr val="bg1">
                          <a:lumMod val="5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0"/>
                    <c:layout>
                      <c:manualLayout>
                        <c:x val="-1.1039641301968465E-2"/>
                        <c:y val="-2.366801624969516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F1D6-443B-9C2D-BAD711643627}"/>
                      </c:ext>
                    </c:extLst>
                  </c:dLbl>
                  <c:dLbl>
                    <c:idx val="1"/>
                    <c:layout>
                      <c:manualLayout>
                        <c:x val="-1.2872325044312632E-2"/>
                        <c:y val="-2.757483845716998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F1D6-443B-9C2D-BAD711643627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'Short Branches (wkly)'!$C$5:$F$5</c15:sqref>
                        </c15:formulaRef>
                      </c:ext>
                    </c:extLst>
                    <c:strCache>
                      <c:ptCount val="4"/>
                      <c:pt idx="0">
                        <c:v>wk52(2024)</c:v>
                      </c:pt>
                      <c:pt idx="1">
                        <c:v>wk1</c:v>
                      </c:pt>
                      <c:pt idx="2">
                        <c:v>wk2 </c:v>
                      </c:pt>
                      <c:pt idx="3">
                        <c:v>wk3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'Short Branches (wkly)'!$C$6:$F$6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F1D6-443B-9C2D-BAD71164362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'Short Branches (wkly)'!$B$7</c15:sqref>
                        </c15:formulaRef>
                      </c:ext>
                    </c:extLst>
                    <c:strCache>
                      <c:ptCount val="1"/>
                      <c:pt idx="0">
                        <c:v>DRYER/COALMILL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'Short Branches (wkly)'!$C$5:$F$5</c15:sqref>
                        </c15:formulaRef>
                      </c:ext>
                    </c:extLst>
                    <c:strCache>
                      <c:ptCount val="4"/>
                      <c:pt idx="0">
                        <c:v>wk52(2024)</c:v>
                      </c:pt>
                      <c:pt idx="1">
                        <c:v>wk1</c:v>
                      </c:pt>
                      <c:pt idx="2">
                        <c:v>wk2 </c:v>
                      </c:pt>
                      <c:pt idx="3">
                        <c:v>wk3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'Short Branches (wkly)'!$C$7:$F$7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14</c:v>
                      </c:pt>
                      <c:pt idx="1">
                        <c:v>14</c:v>
                      </c:pt>
                      <c:pt idx="2">
                        <c:v>14</c:v>
                      </c:pt>
                      <c:pt idx="3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1D6-443B-9C2D-BAD71164362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'Short Branches (wkly)'!$B$9</c15:sqref>
                        </c15:formulaRef>
                      </c:ext>
                    </c:extLst>
                    <c:strCache>
                      <c:ptCount val="1"/>
                      <c:pt idx="0">
                        <c:v>CONVERTER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'Short Branches (wkly)'!$C$5:$F$5</c15:sqref>
                        </c15:formulaRef>
                      </c:ext>
                    </c:extLst>
                    <c:strCache>
                      <c:ptCount val="4"/>
                      <c:pt idx="0">
                        <c:v>wk52(2024)</c:v>
                      </c:pt>
                      <c:pt idx="1">
                        <c:v>wk1</c:v>
                      </c:pt>
                      <c:pt idx="2">
                        <c:v>wk2 </c:v>
                      </c:pt>
                      <c:pt idx="3">
                        <c:v>wk3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'Short Branches (wkly)'!$C$9:$F$9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1D6-443B-9C2D-BAD711643627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CONVERTER</a:t>
            </a:r>
          </a:p>
        </c:rich>
      </c:tx>
      <c:layout>
        <c:manualLayout>
          <c:xMode val="edge"/>
          <c:yMode val="edge"/>
          <c:x val="0.46255540773067566"/>
          <c:y val="1.83373042715519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73122411781860597"/>
        </c:manualLayout>
      </c:layout>
      <c:lineChart>
        <c:grouping val="standard"/>
        <c:varyColors val="0"/>
        <c:ser>
          <c:idx val="1"/>
          <c:order val="1"/>
          <c:tx>
            <c:strRef>
              <c:f>'Short Branches (wkly)'!$B$7</c:f>
              <c:strCache>
                <c:ptCount val="1"/>
                <c:pt idx="0">
                  <c:v>DRYER/COALMILL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elete val="1"/>
          </c:dLbls>
          <c:cat>
            <c:strRef>
              <c:f>'Short Branches (wkly)'!$C$5:$F$5</c:f>
              <c:strCache>
                <c:ptCount val="4"/>
                <c:pt idx="0">
                  <c:v>wk52(2024)</c:v>
                </c:pt>
                <c:pt idx="1">
                  <c:v>wk1</c:v>
                </c:pt>
                <c:pt idx="2">
                  <c:v>wk2 </c:v>
                </c:pt>
                <c:pt idx="3">
                  <c:v>wk3</c:v>
                </c:pt>
              </c:strCache>
            </c:strRef>
          </c:cat>
          <c:val>
            <c:numRef>
              <c:f>'Short Branches (wkly)'!$C$7:$F$7</c:f>
              <c:numCache>
                <c:formatCode>0</c:formatCode>
                <c:ptCount val="4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BC2B-4A9E-8D0D-5BA2022E26E9}"/>
            </c:ext>
          </c:extLst>
        </c:ser>
        <c:ser>
          <c:idx val="2"/>
          <c:order val="2"/>
          <c:tx>
            <c:strRef>
              <c:f>'Short Branches (wkly)'!$B$8</c:f>
              <c:strCache>
                <c:ptCount val="1"/>
                <c:pt idx="0">
                  <c:v>FURNACE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elete val="1"/>
          </c:dLbls>
          <c:cat>
            <c:strRef>
              <c:f>'Short Branches (wkly)'!$C$5:$F$5</c:f>
              <c:strCache>
                <c:ptCount val="4"/>
                <c:pt idx="0">
                  <c:v>wk52(2024)</c:v>
                </c:pt>
                <c:pt idx="1">
                  <c:v>wk1</c:v>
                </c:pt>
                <c:pt idx="2">
                  <c:v>wk2 </c:v>
                </c:pt>
                <c:pt idx="3">
                  <c:v>wk3</c:v>
                </c:pt>
              </c:strCache>
            </c:strRef>
          </c:cat>
          <c:val>
            <c:numRef>
              <c:f>'Short Branches (wkly)'!$C$8:$F$8</c:f>
              <c:numCache>
                <c:formatCode>0</c:formatCode>
                <c:ptCount val="4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BC2B-4A9E-8D0D-5BA2022E26E9}"/>
            </c:ext>
          </c:extLst>
        </c:ser>
        <c:ser>
          <c:idx val="3"/>
          <c:order val="3"/>
          <c:tx>
            <c:strRef>
              <c:f>'Short Branches (wkly)'!$B$9</c:f>
              <c:strCache>
                <c:ptCount val="1"/>
                <c:pt idx="0">
                  <c:v>CONVERTER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'Short Branches (wkly)'!$C$5:$F$5</c:f>
              <c:strCache>
                <c:ptCount val="4"/>
                <c:pt idx="0">
                  <c:v>wk52(2024)</c:v>
                </c:pt>
                <c:pt idx="1">
                  <c:v>wk1</c:v>
                </c:pt>
                <c:pt idx="2">
                  <c:v>wk2 </c:v>
                </c:pt>
                <c:pt idx="3">
                  <c:v>wk3</c:v>
                </c:pt>
              </c:strCache>
            </c:strRef>
          </c:cat>
          <c:val>
            <c:numRef>
              <c:f>'Short Branches (wkly)'!$C$9:$F$9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2B-4A9E-8D0D-5BA2022E26E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'Short Branches (wkly)'!$B$6</c15:sqref>
                        </c15:formulaRef>
                      </c:ext>
                    </c:extLst>
                    <c:strCache>
                      <c:ptCount val="1"/>
                      <c:pt idx="0">
                        <c:v>KILN - CTT - CRANE - DOS - SULPHUR MELTER - SLCU</c:v>
                      </c:pt>
                    </c:strCache>
                  </c:strRef>
                </c:tx>
                <c:spPr>
                  <a:ln w="28575" cap="rnd">
                    <a:solidFill>
                      <a:schemeClr val="bg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bg1">
                        <a:lumMod val="50000"/>
                      </a:schemeClr>
                    </a:solidFill>
                    <a:ln w="9525">
                      <a:solidFill>
                        <a:schemeClr val="bg1">
                          <a:lumMod val="5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0"/>
                    <c:layout>
                      <c:manualLayout>
                        <c:x val="-1.1039641301968465E-2"/>
                        <c:y val="-2.366801624969516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BC2B-4A9E-8D0D-5BA2022E26E9}"/>
                      </c:ext>
                    </c:extLst>
                  </c:dLbl>
                  <c:dLbl>
                    <c:idx val="1"/>
                    <c:layout>
                      <c:manualLayout>
                        <c:x val="-1.2872325044312632E-2"/>
                        <c:y val="-2.757483845716998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BC2B-4A9E-8D0D-5BA2022E26E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'Short Branches (wkly)'!$C$5:$F$5</c15:sqref>
                        </c15:formulaRef>
                      </c:ext>
                    </c:extLst>
                    <c:strCache>
                      <c:ptCount val="4"/>
                      <c:pt idx="0">
                        <c:v>wk52(2024)</c:v>
                      </c:pt>
                      <c:pt idx="1">
                        <c:v>wk1</c:v>
                      </c:pt>
                      <c:pt idx="2">
                        <c:v>wk2 </c:v>
                      </c:pt>
                      <c:pt idx="3">
                        <c:v>wk3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'Short Branches (wkly)'!$C$6:$F$6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BC2B-4A9E-8D0D-5BA2022E26E9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KILN - CTT - CRANE - DOS - SULPHUR MELTER - SLCU</a:t>
            </a:r>
            <a:endParaRPr lang="en-US" b="1"/>
          </a:p>
        </c:rich>
      </c:tx>
      <c:layout>
        <c:manualLayout>
          <c:xMode val="edge"/>
          <c:yMode val="edge"/>
          <c:x val="0.34203908698766705"/>
          <c:y val="1.57880734986619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73122411781860597"/>
        </c:manualLayout>
      </c:layout>
      <c:lineChart>
        <c:grouping val="standard"/>
        <c:varyColors val="0"/>
        <c:ser>
          <c:idx val="0"/>
          <c:order val="0"/>
          <c:tx>
            <c:strRef>
              <c:f>'Short Branches (mthly)'!$B$6</c:f>
              <c:strCache>
                <c:ptCount val="1"/>
                <c:pt idx="0">
                  <c:v>KILN - CTT - CRANE - DOS - SULPHUR MELTER - SLCU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'Short Branches (mthly)'!$C$5:$O$5</c:f>
              <c:numCache>
                <c:formatCode>mmm\-yy</c:formatCode>
                <c:ptCount val="13"/>
                <c:pt idx="0" formatCode="General">
                  <c:v>2023</c:v>
                </c:pt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  <c:pt idx="4">
                  <c:v>45383</c:v>
                </c:pt>
                <c:pt idx="5">
                  <c:v>45413</c:v>
                </c:pt>
                <c:pt idx="6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  <c:pt idx="11">
                  <c:v>45620</c:v>
                </c:pt>
                <c:pt idx="12">
                  <c:v>45650</c:v>
                </c:pt>
              </c:numCache>
            </c:numRef>
          </c:cat>
          <c:val>
            <c:numRef>
              <c:f>'Short Branches (mthly)'!$C$6:$O$6</c:f>
              <c:numCache>
                <c:formatCode>0</c:formatCode>
                <c:ptCount val="13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8</c:v>
                </c:pt>
                <c:pt idx="9">
                  <c:v>4</c:v>
                </c:pt>
                <c:pt idx="10">
                  <c:v>4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80-4AE1-833B-F8D7A40EDB7A}"/>
            </c:ext>
          </c:extLst>
        </c:ser>
        <c:ser>
          <c:idx val="1"/>
          <c:order val="1"/>
          <c:tx>
            <c:strRef>
              <c:f>'Short Branches (mthly)'!$B$7</c:f>
              <c:strCache>
                <c:ptCount val="1"/>
                <c:pt idx="0">
                  <c:v>DRYER/COALMILL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numRef>
              <c:f>'Short Branches (mthly)'!$C$5:$O$5</c:f>
              <c:numCache>
                <c:formatCode>mmm\-yy</c:formatCode>
                <c:ptCount val="13"/>
                <c:pt idx="0" formatCode="General">
                  <c:v>2023</c:v>
                </c:pt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  <c:pt idx="4">
                  <c:v>45383</c:v>
                </c:pt>
                <c:pt idx="5">
                  <c:v>45413</c:v>
                </c:pt>
                <c:pt idx="6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  <c:pt idx="11">
                  <c:v>45620</c:v>
                </c:pt>
                <c:pt idx="12">
                  <c:v>45650</c:v>
                </c:pt>
              </c:numCache>
              <c:extLst xmlns:c15="http://schemas.microsoft.com/office/drawing/2012/chart"/>
            </c:numRef>
          </c:cat>
          <c:val>
            <c:numRef>
              <c:f>'Short Branches (mthly)'!$C$7:$O$7</c:f>
              <c:numCache>
                <c:formatCode>0</c:formatCode>
                <c:ptCount val="13"/>
                <c:pt idx="0">
                  <c:v>22</c:v>
                </c:pt>
                <c:pt idx="1">
                  <c:v>22</c:v>
                </c:pt>
                <c:pt idx="2">
                  <c:v>27</c:v>
                </c:pt>
                <c:pt idx="3">
                  <c:v>27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1D80-4AE1-833B-F8D7A40EDB7A}"/>
            </c:ext>
          </c:extLst>
        </c:ser>
        <c:ser>
          <c:idx val="2"/>
          <c:order val="2"/>
          <c:tx>
            <c:strRef>
              <c:f>'Short Branches (mthly)'!$B$8</c:f>
              <c:strCache>
                <c:ptCount val="1"/>
                <c:pt idx="0">
                  <c:v>FURNACE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numRef>
              <c:f>'Short Branches (mthly)'!$C$5:$O$5</c:f>
              <c:numCache>
                <c:formatCode>mmm\-yy</c:formatCode>
                <c:ptCount val="13"/>
                <c:pt idx="0" formatCode="General">
                  <c:v>2023</c:v>
                </c:pt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  <c:pt idx="4">
                  <c:v>45383</c:v>
                </c:pt>
                <c:pt idx="5">
                  <c:v>45413</c:v>
                </c:pt>
                <c:pt idx="6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  <c:pt idx="11">
                  <c:v>45620</c:v>
                </c:pt>
                <c:pt idx="12">
                  <c:v>45650</c:v>
                </c:pt>
              </c:numCache>
              <c:extLst xmlns:c15="http://schemas.microsoft.com/office/drawing/2012/chart"/>
            </c:numRef>
          </c:cat>
          <c:val>
            <c:numRef>
              <c:f>'Short Branches (mthly)'!$C$8:$O$8</c:f>
              <c:numCache>
                <c:formatCode>0</c:formatCode>
                <c:ptCount val="13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7</c:v>
                </c:pt>
                <c:pt idx="7">
                  <c:v>7</c:v>
                </c:pt>
                <c:pt idx="8">
                  <c:v>9</c:v>
                </c:pt>
                <c:pt idx="9">
                  <c:v>8</c:v>
                </c:pt>
                <c:pt idx="10">
                  <c:v>9</c:v>
                </c:pt>
                <c:pt idx="11">
                  <c:v>5</c:v>
                </c:pt>
                <c:pt idx="12">
                  <c:v>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1D80-4AE1-833B-F8D7A40EDB7A}"/>
            </c:ext>
          </c:extLst>
        </c:ser>
        <c:ser>
          <c:idx val="3"/>
          <c:order val="3"/>
          <c:tx>
            <c:strRef>
              <c:f>'Short Branches (mthly)'!$B$9</c:f>
              <c:strCache>
                <c:ptCount val="1"/>
                <c:pt idx="0">
                  <c:v>CONVERTER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'Short Branches (mthly)'!$C$5:$O$5</c:f>
              <c:numCache>
                <c:formatCode>mmm\-yy</c:formatCode>
                <c:ptCount val="13"/>
                <c:pt idx="0" formatCode="General">
                  <c:v>2023</c:v>
                </c:pt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  <c:pt idx="4">
                  <c:v>45383</c:v>
                </c:pt>
                <c:pt idx="5">
                  <c:v>45413</c:v>
                </c:pt>
                <c:pt idx="6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  <c:pt idx="11">
                  <c:v>45620</c:v>
                </c:pt>
                <c:pt idx="12">
                  <c:v>45650</c:v>
                </c:pt>
              </c:numCache>
              <c:extLst xmlns:c15="http://schemas.microsoft.com/office/drawing/2012/chart"/>
            </c:numRef>
          </c:cat>
          <c:val>
            <c:numRef>
              <c:f>'Short Branches (mthly)'!$C$9:$O$9</c:f>
              <c:numCache>
                <c:formatCode>0</c:formatCode>
                <c:ptCount val="13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DB72-456E-AF03-0F4ADC95813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/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DRYER/COALMILL</a:t>
            </a:r>
            <a:endParaRPr lang="en-US" b="1"/>
          </a:p>
        </c:rich>
      </c:tx>
      <c:layout>
        <c:manualLayout>
          <c:xMode val="edge"/>
          <c:yMode val="edge"/>
          <c:x val="0.44064335511828456"/>
          <c:y val="1.83373042715519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73122411781860597"/>
        </c:manualLayout>
      </c:layout>
      <c:lineChart>
        <c:grouping val="standard"/>
        <c:varyColors val="0"/>
        <c:ser>
          <c:idx val="1"/>
          <c:order val="1"/>
          <c:tx>
            <c:strRef>
              <c:f>'Short Branches (mthly)'!$B$7</c:f>
              <c:strCache>
                <c:ptCount val="1"/>
                <c:pt idx="0">
                  <c:v>DRYER/COALMILL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'Short Branches (mthly)'!$C$5:$O$5</c:f>
              <c:numCache>
                <c:formatCode>mmm\-yy</c:formatCode>
                <c:ptCount val="13"/>
                <c:pt idx="0" formatCode="General">
                  <c:v>2023</c:v>
                </c:pt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  <c:pt idx="4">
                  <c:v>45383</c:v>
                </c:pt>
                <c:pt idx="5">
                  <c:v>45413</c:v>
                </c:pt>
                <c:pt idx="6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  <c:pt idx="11">
                  <c:v>45620</c:v>
                </c:pt>
                <c:pt idx="12">
                  <c:v>45650</c:v>
                </c:pt>
              </c:numCache>
            </c:numRef>
          </c:cat>
          <c:val>
            <c:numRef>
              <c:f>'Short Branches (mthly)'!$C$7:$O$7</c:f>
              <c:numCache>
                <c:formatCode>0</c:formatCode>
                <c:ptCount val="13"/>
                <c:pt idx="0">
                  <c:v>22</c:v>
                </c:pt>
                <c:pt idx="1">
                  <c:v>22</c:v>
                </c:pt>
                <c:pt idx="2">
                  <c:v>27</c:v>
                </c:pt>
                <c:pt idx="3">
                  <c:v>27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D5A-4136-A10A-BB7E1CF8E5B9}"/>
            </c:ext>
          </c:extLst>
        </c:ser>
        <c:ser>
          <c:idx val="2"/>
          <c:order val="2"/>
          <c:tx>
            <c:strRef>
              <c:f>'Short Branches (mthly)'!$B$8</c:f>
              <c:strCache>
                <c:ptCount val="1"/>
                <c:pt idx="0">
                  <c:v>FURNACE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'Short Branches (mthly)'!$C$5:$O$5</c:f>
              <c:numCache>
                <c:formatCode>mmm\-yy</c:formatCode>
                <c:ptCount val="13"/>
                <c:pt idx="0" formatCode="General">
                  <c:v>2023</c:v>
                </c:pt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  <c:pt idx="4">
                  <c:v>45383</c:v>
                </c:pt>
                <c:pt idx="5">
                  <c:v>45413</c:v>
                </c:pt>
                <c:pt idx="6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  <c:pt idx="11">
                  <c:v>45620</c:v>
                </c:pt>
                <c:pt idx="12">
                  <c:v>45650</c:v>
                </c:pt>
              </c:numCache>
              <c:extLst xmlns:c15="http://schemas.microsoft.com/office/drawing/2012/chart"/>
            </c:numRef>
          </c:cat>
          <c:val>
            <c:numRef>
              <c:f>'Short Branches (mthly)'!$C$8:$O$8</c:f>
              <c:numCache>
                <c:formatCode>0</c:formatCode>
                <c:ptCount val="13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7</c:v>
                </c:pt>
                <c:pt idx="7">
                  <c:v>7</c:v>
                </c:pt>
                <c:pt idx="8">
                  <c:v>9</c:v>
                </c:pt>
                <c:pt idx="9">
                  <c:v>8</c:v>
                </c:pt>
                <c:pt idx="10">
                  <c:v>9</c:v>
                </c:pt>
                <c:pt idx="11">
                  <c:v>5</c:v>
                </c:pt>
                <c:pt idx="12">
                  <c:v>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3D5A-4136-A10A-BB7E1CF8E5B9}"/>
            </c:ext>
          </c:extLst>
        </c:ser>
        <c:ser>
          <c:idx val="3"/>
          <c:order val="3"/>
          <c:tx>
            <c:strRef>
              <c:f>'Short Branches (mthly)'!$B$9</c:f>
              <c:strCache>
                <c:ptCount val="1"/>
                <c:pt idx="0">
                  <c:v>CONVERTER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'Short Branches (mthly)'!$C$5:$O$5</c:f>
              <c:numCache>
                <c:formatCode>mmm\-yy</c:formatCode>
                <c:ptCount val="13"/>
                <c:pt idx="0" formatCode="General">
                  <c:v>2023</c:v>
                </c:pt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  <c:pt idx="4">
                  <c:v>45383</c:v>
                </c:pt>
                <c:pt idx="5">
                  <c:v>45413</c:v>
                </c:pt>
                <c:pt idx="6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  <c:pt idx="11">
                  <c:v>45620</c:v>
                </c:pt>
                <c:pt idx="12">
                  <c:v>45650</c:v>
                </c:pt>
              </c:numCache>
              <c:extLst xmlns:c15="http://schemas.microsoft.com/office/drawing/2012/chart"/>
            </c:numRef>
          </c:cat>
          <c:val>
            <c:numRef>
              <c:f>'Short Branches (mthly)'!$C$9:$O$9</c:f>
              <c:numCache>
                <c:formatCode>0</c:formatCode>
                <c:ptCount val="13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3D5A-4136-A10A-BB7E1CF8E5B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'Short Branches (mthly)'!$B$6</c15:sqref>
                        </c15:formulaRef>
                      </c:ext>
                    </c:extLst>
                    <c:strCache>
                      <c:ptCount val="1"/>
                      <c:pt idx="0">
                        <c:v>KILN - CTT - CRANE - DOS - SULPHUR MELTER - SLCU</c:v>
                      </c:pt>
                    </c:strCache>
                  </c:strRef>
                </c:tx>
                <c:spPr>
                  <a:ln w="28575" cap="rnd">
                    <a:solidFill>
                      <a:schemeClr val="bg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bg1">
                        <a:lumMod val="50000"/>
                      </a:schemeClr>
                    </a:solidFill>
                    <a:ln w="9525">
                      <a:solidFill>
                        <a:schemeClr val="bg1">
                          <a:lumMod val="5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0"/>
                    <c:layout>
                      <c:manualLayout>
                        <c:x val="-1.1039641301968465E-2"/>
                        <c:y val="-2.366801624969516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3D5A-4136-A10A-BB7E1CF8E5B9}"/>
                      </c:ext>
                    </c:extLst>
                  </c:dLbl>
                  <c:dLbl>
                    <c:idx val="1"/>
                    <c:layout>
                      <c:manualLayout>
                        <c:x val="-1.2872325044312632E-2"/>
                        <c:y val="-2.757483845716998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3D5A-4136-A10A-BB7E1CF8E5B9}"/>
                      </c:ext>
                    </c:extLst>
                  </c:dLbl>
                  <c:dLbl>
                    <c:idx val="8"/>
                    <c:layout>
                      <c:manualLayout>
                        <c:x val="-1.2570656868442932E-2"/>
                        <c:y val="-2.742441668571113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3D5A-4136-A10A-BB7E1CF8E5B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'Short Branches (mthly)'!$C$5:$O$5</c15:sqref>
                        </c15:formulaRef>
                      </c:ext>
                    </c:extLst>
                    <c:numCache>
                      <c:formatCode>mmm\-yy</c:formatCode>
                      <c:ptCount val="13"/>
                      <c:pt idx="0" formatCode="General">
                        <c:v>2023</c:v>
                      </c:pt>
                      <c:pt idx="1">
                        <c:v>45292</c:v>
                      </c:pt>
                      <c:pt idx="2">
                        <c:v>45323</c:v>
                      </c:pt>
                      <c:pt idx="3">
                        <c:v>45352</c:v>
                      </c:pt>
                      <c:pt idx="4">
                        <c:v>45383</c:v>
                      </c:pt>
                      <c:pt idx="5">
                        <c:v>45413</c:v>
                      </c:pt>
                      <c:pt idx="6">
                        <c:v>45444</c:v>
                      </c:pt>
                      <c:pt idx="7">
                        <c:v>45474</c:v>
                      </c:pt>
                      <c:pt idx="8">
                        <c:v>45505</c:v>
                      </c:pt>
                      <c:pt idx="9">
                        <c:v>45536</c:v>
                      </c:pt>
                      <c:pt idx="10">
                        <c:v>45566</c:v>
                      </c:pt>
                      <c:pt idx="11">
                        <c:v>45620</c:v>
                      </c:pt>
                      <c:pt idx="12">
                        <c:v>45650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'Short Branches (mthly)'!$C$6:$O$6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2</c:v>
                      </c:pt>
                      <c:pt idx="1">
                        <c:v>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5</c:v>
                      </c:pt>
                      <c:pt idx="5">
                        <c:v>4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8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0</c:v>
                      </c:pt>
                      <c:pt idx="1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3D5A-4136-A10A-BB7E1CF8E5B9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FURNACE</a:t>
            </a:r>
          </a:p>
        </c:rich>
      </c:tx>
      <c:layout>
        <c:manualLayout>
          <c:xMode val="edge"/>
          <c:yMode val="edge"/>
          <c:x val="0.44064335511828456"/>
          <c:y val="1.83373042715519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73122411781860597"/>
        </c:manualLayout>
      </c:layout>
      <c:lineChart>
        <c:grouping val="standard"/>
        <c:varyColors val="0"/>
        <c:ser>
          <c:idx val="1"/>
          <c:order val="1"/>
          <c:tx>
            <c:strRef>
              <c:f>'Short Branches (mthly)'!$B$7</c:f>
              <c:strCache>
                <c:ptCount val="1"/>
                <c:pt idx="0">
                  <c:v>DRYER/COALMILL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'Short Branches (mthly)'!$C$5:$O$5</c:f>
              <c:numCache>
                <c:formatCode>mmm\-yy</c:formatCode>
                <c:ptCount val="13"/>
                <c:pt idx="0" formatCode="General">
                  <c:v>2023</c:v>
                </c:pt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  <c:pt idx="4">
                  <c:v>45383</c:v>
                </c:pt>
                <c:pt idx="5">
                  <c:v>45413</c:v>
                </c:pt>
                <c:pt idx="6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  <c:pt idx="11">
                  <c:v>45620</c:v>
                </c:pt>
                <c:pt idx="12">
                  <c:v>45650</c:v>
                </c:pt>
              </c:numCache>
              <c:extLst xmlns:c15="http://schemas.microsoft.com/office/drawing/2012/chart"/>
            </c:numRef>
          </c:cat>
          <c:val>
            <c:numRef>
              <c:f>'Short Branches (mthly)'!$C$7:$O$7</c:f>
              <c:numCache>
                <c:formatCode>0</c:formatCode>
                <c:ptCount val="13"/>
                <c:pt idx="0">
                  <c:v>22</c:v>
                </c:pt>
                <c:pt idx="1">
                  <c:v>22</c:v>
                </c:pt>
                <c:pt idx="2">
                  <c:v>27</c:v>
                </c:pt>
                <c:pt idx="3">
                  <c:v>27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D6A9-4FAE-9EF5-ED2CB272C6D1}"/>
            </c:ext>
          </c:extLst>
        </c:ser>
        <c:ser>
          <c:idx val="2"/>
          <c:order val="2"/>
          <c:tx>
            <c:strRef>
              <c:f>'Short Branches (mthly)'!$B$8</c:f>
              <c:strCache>
                <c:ptCount val="1"/>
                <c:pt idx="0">
                  <c:v>FURNACE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'Short Branches (mthly)'!$C$5:$O$5</c:f>
              <c:numCache>
                <c:formatCode>mmm\-yy</c:formatCode>
                <c:ptCount val="13"/>
                <c:pt idx="0" formatCode="General">
                  <c:v>2023</c:v>
                </c:pt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  <c:pt idx="4">
                  <c:v>45383</c:v>
                </c:pt>
                <c:pt idx="5">
                  <c:v>45413</c:v>
                </c:pt>
                <c:pt idx="6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  <c:pt idx="11">
                  <c:v>45620</c:v>
                </c:pt>
                <c:pt idx="12">
                  <c:v>45650</c:v>
                </c:pt>
              </c:numCache>
            </c:numRef>
          </c:cat>
          <c:val>
            <c:numRef>
              <c:f>'Short Branches (mthly)'!$C$8:$O$8</c:f>
              <c:numCache>
                <c:formatCode>0</c:formatCode>
                <c:ptCount val="13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7</c:v>
                </c:pt>
                <c:pt idx="7">
                  <c:v>7</c:v>
                </c:pt>
                <c:pt idx="8">
                  <c:v>9</c:v>
                </c:pt>
                <c:pt idx="9">
                  <c:v>8</c:v>
                </c:pt>
                <c:pt idx="10">
                  <c:v>9</c:v>
                </c:pt>
                <c:pt idx="11">
                  <c:v>5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6A9-4FAE-9EF5-ED2CB272C6D1}"/>
            </c:ext>
          </c:extLst>
        </c:ser>
        <c:ser>
          <c:idx val="3"/>
          <c:order val="3"/>
          <c:tx>
            <c:strRef>
              <c:f>'Short Branches (mthly)'!$B$9</c:f>
              <c:strCache>
                <c:ptCount val="1"/>
                <c:pt idx="0">
                  <c:v>CONVERTER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'Short Branches (mthly)'!$C$5:$O$5</c:f>
              <c:numCache>
                <c:formatCode>mmm\-yy</c:formatCode>
                <c:ptCount val="13"/>
                <c:pt idx="0" formatCode="General">
                  <c:v>2023</c:v>
                </c:pt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  <c:pt idx="4">
                  <c:v>45383</c:v>
                </c:pt>
                <c:pt idx="5">
                  <c:v>45413</c:v>
                </c:pt>
                <c:pt idx="6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  <c:pt idx="11">
                  <c:v>45620</c:v>
                </c:pt>
                <c:pt idx="12">
                  <c:v>45650</c:v>
                </c:pt>
              </c:numCache>
              <c:extLst xmlns:c15="http://schemas.microsoft.com/office/drawing/2012/chart"/>
            </c:numRef>
          </c:cat>
          <c:val>
            <c:numRef>
              <c:f>'Short Branches (mthly)'!$C$9:$O$9</c:f>
              <c:numCache>
                <c:formatCode>0</c:formatCode>
                <c:ptCount val="13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D6A9-4FAE-9EF5-ED2CB272C6D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'Short Branches (mthly)'!$B$6</c15:sqref>
                        </c15:formulaRef>
                      </c:ext>
                    </c:extLst>
                    <c:strCache>
                      <c:ptCount val="1"/>
                      <c:pt idx="0">
                        <c:v>KILN - CTT - CRANE - DOS - SULPHUR MELTER - SLCU</c:v>
                      </c:pt>
                    </c:strCache>
                  </c:strRef>
                </c:tx>
                <c:spPr>
                  <a:ln w="28575" cap="rnd">
                    <a:solidFill>
                      <a:schemeClr val="bg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bg1">
                        <a:lumMod val="50000"/>
                      </a:schemeClr>
                    </a:solidFill>
                    <a:ln w="9525">
                      <a:solidFill>
                        <a:schemeClr val="bg1">
                          <a:lumMod val="5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0"/>
                    <c:layout>
                      <c:manualLayout>
                        <c:x val="-1.1039641301968465E-2"/>
                        <c:y val="-2.366801624969516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D6A9-4FAE-9EF5-ED2CB272C6D1}"/>
                      </c:ext>
                    </c:extLst>
                  </c:dLbl>
                  <c:dLbl>
                    <c:idx val="1"/>
                    <c:layout>
                      <c:manualLayout>
                        <c:x val="-1.2872325044312632E-2"/>
                        <c:y val="-2.757483845716998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D6A9-4FAE-9EF5-ED2CB272C6D1}"/>
                      </c:ext>
                    </c:extLst>
                  </c:dLbl>
                  <c:dLbl>
                    <c:idx val="8"/>
                    <c:layout>
                      <c:manualLayout>
                        <c:x val="-1.2570656868442932E-2"/>
                        <c:y val="-2.742441668571113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D6A9-4FAE-9EF5-ED2CB272C6D1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'Short Branches (mthly)'!$C$5:$O$5</c15:sqref>
                        </c15:formulaRef>
                      </c:ext>
                    </c:extLst>
                    <c:numCache>
                      <c:formatCode>mmm\-yy</c:formatCode>
                      <c:ptCount val="13"/>
                      <c:pt idx="0" formatCode="General">
                        <c:v>2023</c:v>
                      </c:pt>
                      <c:pt idx="1">
                        <c:v>45292</c:v>
                      </c:pt>
                      <c:pt idx="2">
                        <c:v>45323</c:v>
                      </c:pt>
                      <c:pt idx="3">
                        <c:v>45352</c:v>
                      </c:pt>
                      <c:pt idx="4">
                        <c:v>45383</c:v>
                      </c:pt>
                      <c:pt idx="5">
                        <c:v>45413</c:v>
                      </c:pt>
                      <c:pt idx="6">
                        <c:v>45444</c:v>
                      </c:pt>
                      <c:pt idx="7">
                        <c:v>45474</c:v>
                      </c:pt>
                      <c:pt idx="8">
                        <c:v>45505</c:v>
                      </c:pt>
                      <c:pt idx="9">
                        <c:v>45536</c:v>
                      </c:pt>
                      <c:pt idx="10">
                        <c:v>45566</c:v>
                      </c:pt>
                      <c:pt idx="11">
                        <c:v>45620</c:v>
                      </c:pt>
                      <c:pt idx="12">
                        <c:v>45650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'Short Branches (mthly)'!$C$6:$O$6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2</c:v>
                      </c:pt>
                      <c:pt idx="1">
                        <c:v>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5</c:v>
                      </c:pt>
                      <c:pt idx="5">
                        <c:v>4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8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0</c:v>
                      </c:pt>
                      <c:pt idx="1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D6A9-4FAE-9EF5-ED2CB272C6D1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CONVERTER</a:t>
            </a:r>
          </a:p>
        </c:rich>
      </c:tx>
      <c:layout>
        <c:manualLayout>
          <c:xMode val="edge"/>
          <c:yMode val="edge"/>
          <c:x val="0.46255540773067566"/>
          <c:y val="1.83373042715519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73122411781860597"/>
        </c:manualLayout>
      </c:layout>
      <c:lineChart>
        <c:grouping val="standard"/>
        <c:varyColors val="0"/>
        <c:ser>
          <c:idx val="1"/>
          <c:order val="1"/>
          <c:tx>
            <c:strRef>
              <c:f>'Short Branches (mthly)'!$B$7</c:f>
              <c:strCache>
                <c:ptCount val="1"/>
                <c:pt idx="0">
                  <c:v>DRYER/COALMILL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'Short Branches (mthly)'!$C$5:$O$5</c:f>
              <c:numCache>
                <c:formatCode>mmm\-yy</c:formatCode>
                <c:ptCount val="13"/>
                <c:pt idx="0" formatCode="General">
                  <c:v>2023</c:v>
                </c:pt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  <c:pt idx="4">
                  <c:v>45383</c:v>
                </c:pt>
                <c:pt idx="5">
                  <c:v>45413</c:v>
                </c:pt>
                <c:pt idx="6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  <c:pt idx="11">
                  <c:v>45620</c:v>
                </c:pt>
                <c:pt idx="12">
                  <c:v>45650</c:v>
                </c:pt>
              </c:numCache>
              <c:extLst xmlns:c15="http://schemas.microsoft.com/office/drawing/2012/chart"/>
            </c:numRef>
          </c:cat>
          <c:val>
            <c:numRef>
              <c:f>'Short Branches (mthly)'!$C$7:$O$7</c:f>
              <c:numCache>
                <c:formatCode>0</c:formatCode>
                <c:ptCount val="13"/>
                <c:pt idx="0">
                  <c:v>22</c:v>
                </c:pt>
                <c:pt idx="1">
                  <c:v>22</c:v>
                </c:pt>
                <c:pt idx="2">
                  <c:v>27</c:v>
                </c:pt>
                <c:pt idx="3">
                  <c:v>27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27CA-4454-9809-B140FDCB5EDB}"/>
            </c:ext>
          </c:extLst>
        </c:ser>
        <c:ser>
          <c:idx val="2"/>
          <c:order val="2"/>
          <c:tx>
            <c:strRef>
              <c:f>'Short Branches (mthly)'!$B$8</c:f>
              <c:strCache>
                <c:ptCount val="1"/>
                <c:pt idx="0">
                  <c:v>FURNACE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8.475413572369828E-3"/>
                  <c:y val="-1.10910900116644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7CA-4454-9809-B140FDCB5E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'Short Branches (mthly)'!$C$5:$O$5</c:f>
              <c:numCache>
                <c:formatCode>mmm\-yy</c:formatCode>
                <c:ptCount val="13"/>
                <c:pt idx="0" formatCode="General">
                  <c:v>2023</c:v>
                </c:pt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  <c:pt idx="4">
                  <c:v>45383</c:v>
                </c:pt>
                <c:pt idx="5">
                  <c:v>45413</c:v>
                </c:pt>
                <c:pt idx="6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  <c:pt idx="11">
                  <c:v>45620</c:v>
                </c:pt>
                <c:pt idx="12">
                  <c:v>45650</c:v>
                </c:pt>
              </c:numCache>
              <c:extLst xmlns:c15="http://schemas.microsoft.com/office/drawing/2012/chart"/>
            </c:numRef>
          </c:cat>
          <c:val>
            <c:numRef>
              <c:f>'Short Branches (mthly)'!$C$8:$O$8</c:f>
              <c:numCache>
                <c:formatCode>0</c:formatCode>
                <c:ptCount val="13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7</c:v>
                </c:pt>
                <c:pt idx="7">
                  <c:v>7</c:v>
                </c:pt>
                <c:pt idx="8">
                  <c:v>9</c:v>
                </c:pt>
                <c:pt idx="9">
                  <c:v>8</c:v>
                </c:pt>
                <c:pt idx="10">
                  <c:v>9</c:v>
                </c:pt>
                <c:pt idx="11">
                  <c:v>5</c:v>
                </c:pt>
                <c:pt idx="12">
                  <c:v>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27CA-4454-9809-B140FDCB5EDB}"/>
            </c:ext>
          </c:extLst>
        </c:ser>
        <c:ser>
          <c:idx val="3"/>
          <c:order val="3"/>
          <c:tx>
            <c:strRef>
              <c:f>'Short Branches (mthly)'!$B$9</c:f>
              <c:strCache>
                <c:ptCount val="1"/>
                <c:pt idx="0">
                  <c:v>CONVERTER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-1.5866130718579997E-2"/>
                  <c:y val="-4.9007557521951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7CA-4454-9809-B140FDCB5E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'Short Branches (mthly)'!$C$5:$O$5</c:f>
              <c:numCache>
                <c:formatCode>mmm\-yy</c:formatCode>
                <c:ptCount val="13"/>
                <c:pt idx="0" formatCode="General">
                  <c:v>2023</c:v>
                </c:pt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  <c:pt idx="4">
                  <c:v>45383</c:v>
                </c:pt>
                <c:pt idx="5">
                  <c:v>45413</c:v>
                </c:pt>
                <c:pt idx="6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  <c:pt idx="11">
                  <c:v>45620</c:v>
                </c:pt>
                <c:pt idx="12">
                  <c:v>45650</c:v>
                </c:pt>
              </c:numCache>
            </c:numRef>
          </c:cat>
          <c:val>
            <c:numRef>
              <c:f>'Short Branches (mthly)'!$C$9:$O$9</c:f>
              <c:numCache>
                <c:formatCode>0</c:formatCode>
                <c:ptCount val="13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7CA-4454-9809-B140FDCB5ED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'Short Branches (mthly)'!$B$6</c15:sqref>
                        </c15:formulaRef>
                      </c:ext>
                    </c:extLst>
                    <c:strCache>
                      <c:ptCount val="1"/>
                      <c:pt idx="0">
                        <c:v>KILN - CTT - CRANE - DOS - SULPHUR MELTER - SLCU</c:v>
                      </c:pt>
                    </c:strCache>
                  </c:strRef>
                </c:tx>
                <c:spPr>
                  <a:ln w="28575" cap="rnd">
                    <a:solidFill>
                      <a:schemeClr val="bg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bg1">
                        <a:lumMod val="50000"/>
                      </a:schemeClr>
                    </a:solidFill>
                    <a:ln w="9525">
                      <a:solidFill>
                        <a:schemeClr val="bg1">
                          <a:lumMod val="5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0"/>
                    <c:layout>
                      <c:manualLayout>
                        <c:x val="-1.1039641301968465E-2"/>
                        <c:y val="-2.366801624969516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27CA-4454-9809-B140FDCB5EDB}"/>
                      </c:ext>
                    </c:extLst>
                  </c:dLbl>
                  <c:dLbl>
                    <c:idx val="1"/>
                    <c:layout>
                      <c:manualLayout>
                        <c:x val="-1.2872325044312632E-2"/>
                        <c:y val="-2.757483845716998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27CA-4454-9809-B140FDCB5EDB}"/>
                      </c:ext>
                    </c:extLst>
                  </c:dLbl>
                  <c:dLbl>
                    <c:idx val="8"/>
                    <c:layout>
                      <c:manualLayout>
                        <c:x val="-1.2570656868442932E-2"/>
                        <c:y val="-2.742441668571113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27CA-4454-9809-B140FDCB5EDB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'Short Branches (mthly)'!$C$5:$O$5</c15:sqref>
                        </c15:formulaRef>
                      </c:ext>
                    </c:extLst>
                    <c:numCache>
                      <c:formatCode>mmm\-yy</c:formatCode>
                      <c:ptCount val="13"/>
                      <c:pt idx="0" formatCode="General">
                        <c:v>2023</c:v>
                      </c:pt>
                      <c:pt idx="1">
                        <c:v>45292</c:v>
                      </c:pt>
                      <c:pt idx="2">
                        <c:v>45323</c:v>
                      </c:pt>
                      <c:pt idx="3">
                        <c:v>45352</c:v>
                      </c:pt>
                      <c:pt idx="4">
                        <c:v>45383</c:v>
                      </c:pt>
                      <c:pt idx="5">
                        <c:v>45413</c:v>
                      </c:pt>
                      <c:pt idx="6">
                        <c:v>45444</c:v>
                      </c:pt>
                      <c:pt idx="7">
                        <c:v>45474</c:v>
                      </c:pt>
                      <c:pt idx="8">
                        <c:v>45505</c:v>
                      </c:pt>
                      <c:pt idx="9">
                        <c:v>45536</c:v>
                      </c:pt>
                      <c:pt idx="10">
                        <c:v>45566</c:v>
                      </c:pt>
                      <c:pt idx="11">
                        <c:v>45620</c:v>
                      </c:pt>
                      <c:pt idx="12">
                        <c:v>45650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'Short Branches (mthly)'!$C$6:$O$6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2</c:v>
                      </c:pt>
                      <c:pt idx="1">
                        <c:v>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5</c:v>
                      </c:pt>
                      <c:pt idx="5">
                        <c:v>4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8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0</c:v>
                      </c:pt>
                      <c:pt idx="1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27CA-4454-9809-B140FDCB5EDB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baseline="0"/>
              <a:t>KILN - CTS</a:t>
            </a:r>
          </a:p>
          <a:p>
            <a:pPr>
              <a:defRPr sz="1800"/>
            </a:pPr>
            <a:r>
              <a:rPr lang="en-US" sz="1800" b="0" baseline="0"/>
              <a:t>Shortbranches (Weekly)</a:t>
            </a:r>
            <a:endParaRPr lang="en-US" sz="1800" b="0"/>
          </a:p>
        </c:rich>
      </c:tx>
      <c:layout>
        <c:manualLayout>
          <c:xMode val="edge"/>
          <c:yMode val="edge"/>
          <c:x val="0.36339645113990199"/>
          <c:y val="1.59864713050660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64605316074454555"/>
        </c:manualLayout>
      </c:layout>
      <c:lineChart>
        <c:grouping val="standard"/>
        <c:varyColors val="0"/>
        <c:ser>
          <c:idx val="0"/>
          <c:order val="0"/>
          <c:tx>
            <c:strRef>
              <c:f>'2025 Plan Shortbranches wkly'!$A$6:$B$6</c:f>
              <c:strCache>
                <c:ptCount val="2"/>
                <c:pt idx="0">
                  <c:v>PLAN</c:v>
                </c:pt>
              </c:strCache>
            </c:strRef>
          </c:tx>
          <c:spPr>
            <a:ln w="571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28"/>
            <c:spPr>
              <a:solidFill>
                <a:schemeClr val="bg1">
                  <a:lumMod val="50000"/>
                </a:schemeClr>
              </a:solidFill>
              <a:ln w="57150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Shortbranches wkly'!$C$5:$G$5</c:f>
              <c:strCache>
                <c:ptCount val="5"/>
                <c:pt idx="0">
                  <c:v>wk1 (Jan)</c:v>
                </c:pt>
                <c:pt idx="1">
                  <c:v>wk30 (Jul)</c:v>
                </c:pt>
                <c:pt idx="2">
                  <c:v>wk42</c:v>
                </c:pt>
                <c:pt idx="3">
                  <c:v>wk43</c:v>
                </c:pt>
                <c:pt idx="4">
                  <c:v>wk44</c:v>
                </c:pt>
              </c:strCache>
            </c:strRef>
          </c:cat>
          <c:val>
            <c:numRef>
              <c:f>'2025 Plan Shortbranches wkly'!$C$6:$G$6</c:f>
              <c:numCache>
                <c:formatCode>0</c:formatCode>
                <c:ptCount val="5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E6-4909-8CB1-44738949495D}"/>
            </c:ext>
          </c:extLst>
        </c:ser>
        <c:ser>
          <c:idx val="4"/>
          <c:order val="4"/>
          <c:tx>
            <c:strRef>
              <c:f>'2025 Plan Shortbranches wkly'!$A$10:$B$10</c:f>
              <c:strCache>
                <c:ptCount val="2"/>
                <c:pt idx="0">
                  <c:v>ACTUAL</c:v>
                </c:pt>
              </c:strCache>
            </c:strRef>
          </c:tx>
          <c:spPr>
            <a:ln w="57150" cap="rnd">
              <a:solidFill>
                <a:srgbClr val="2D8F78"/>
              </a:solidFill>
              <a:round/>
            </a:ln>
            <a:effectLst/>
          </c:spPr>
          <c:marker>
            <c:symbol val="circle"/>
            <c:size val="28"/>
            <c:spPr>
              <a:solidFill>
                <a:srgbClr val="2D8F78"/>
              </a:solidFill>
              <a:ln w="57150">
                <a:solidFill>
                  <a:srgbClr val="2D8F7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Shortbranches wkly'!$C$5:$G$5</c:f>
              <c:strCache>
                <c:ptCount val="5"/>
                <c:pt idx="0">
                  <c:v>wk1 (Jan)</c:v>
                </c:pt>
                <c:pt idx="1">
                  <c:v>wk30 (Jul)</c:v>
                </c:pt>
                <c:pt idx="2">
                  <c:v>wk42</c:v>
                </c:pt>
                <c:pt idx="3">
                  <c:v>wk43</c:v>
                </c:pt>
                <c:pt idx="4">
                  <c:v>wk44</c:v>
                </c:pt>
              </c:strCache>
            </c:strRef>
          </c:cat>
          <c:val>
            <c:numRef>
              <c:f>'2025 Plan Shortbranches wkly'!$C$10:$G$10</c:f>
              <c:numCache>
                <c:formatCode>0</c:formatCode>
                <c:ptCount val="5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7E6-4909-8CB1-44738949495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'2025 Plan Shortbranches wkly'!$A$7:$B$7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ormulaRef>
                          <c15:sqref>'2025 Plan Shortbranches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Shortbranches wkly'!$C$7:$G$7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0.3</c:v>
                      </c:pt>
                      <c:pt idx="1">
                        <c:v>0.3</c:v>
                      </c:pt>
                      <c:pt idx="2">
                        <c:v>0.3</c:v>
                      </c:pt>
                      <c:pt idx="3">
                        <c:v>0.3</c:v>
                      </c:pt>
                      <c:pt idx="4">
                        <c:v>0.3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37E6-4909-8CB1-44738949495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wkly'!$A$8:$B$8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wkly'!$C$8:$G$8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0.1</c:v>
                      </c:pt>
                      <c:pt idx="1">
                        <c:v>0.1</c:v>
                      </c:pt>
                      <c:pt idx="2">
                        <c:v>0.1</c:v>
                      </c:pt>
                      <c:pt idx="3">
                        <c:v>0.1</c:v>
                      </c:pt>
                      <c:pt idx="4">
                        <c:v>0.1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7E6-4909-8CB1-44738949495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wkly'!$A$9:$B$9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wkly'!$C$9:$G$9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0.01</c:v>
                      </c:pt>
                      <c:pt idx="1">
                        <c:v>0.01</c:v>
                      </c:pt>
                      <c:pt idx="2">
                        <c:v>0.01</c:v>
                      </c:pt>
                      <c:pt idx="3">
                        <c:v>0.01</c:v>
                      </c:pt>
                      <c:pt idx="4">
                        <c:v>0.01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7E6-4909-8CB1-44738949495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wkly'!$A$11:$B$11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wkly'!$C$11:$G$11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14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7E6-4909-8CB1-44738949495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wkly'!$A$12:$B$12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wkly'!$C$12:$G$12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5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37E6-4909-8CB1-44738949495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wkly'!$A$13:$B$13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wkly'!$C$13:$G$13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0.01</c:v>
                      </c:pt>
                      <c:pt idx="1">
                        <c:v>0.01</c:v>
                      </c:pt>
                      <c:pt idx="2">
                        <c:v>0.01</c:v>
                      </c:pt>
                      <c:pt idx="3">
                        <c:v>0.01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37E6-4909-8CB1-44738949495D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8842237697984972"/>
          <c:y val="0.83387456622226508"/>
          <c:w val="0.25001453615477859"/>
          <c:h val="0.165785355927598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baseline="0"/>
              <a:t>CONVERTER</a:t>
            </a:r>
          </a:p>
          <a:p>
            <a:pPr>
              <a:defRPr sz="1800"/>
            </a:pPr>
            <a:r>
              <a:rPr lang="en-US" sz="1800" b="0" baseline="0"/>
              <a:t>Shortbranches (Weekly)</a:t>
            </a:r>
            <a:endParaRPr lang="en-US" sz="1800" b="0"/>
          </a:p>
        </c:rich>
      </c:tx>
      <c:layout>
        <c:manualLayout>
          <c:xMode val="edge"/>
          <c:yMode val="edge"/>
          <c:x val="0.35660872579606795"/>
          <c:y val="2.03965364013292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64613418505493148"/>
        </c:manualLayout>
      </c:layout>
      <c:lineChart>
        <c:grouping val="standard"/>
        <c:varyColors val="0"/>
        <c:ser>
          <c:idx val="3"/>
          <c:order val="3"/>
          <c:tx>
            <c:strRef>
              <c:f>'2025 Plan Shortbranches wkly'!$A$9:$B$9</c:f>
              <c:strCache>
                <c:ptCount val="2"/>
                <c:pt idx="0">
                  <c:v>PLAN</c:v>
                </c:pt>
              </c:strCache>
            </c:strRef>
          </c:tx>
          <c:spPr>
            <a:ln w="571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25"/>
            <c:spPr>
              <a:solidFill>
                <a:schemeClr val="bg1">
                  <a:lumMod val="50000"/>
                </a:schemeClr>
              </a:solidFill>
              <a:ln w="57150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Shortbranches wkly'!$C$5:$G$5</c:f>
              <c:strCache>
                <c:ptCount val="5"/>
                <c:pt idx="0">
                  <c:v>wk1 (Jan)</c:v>
                </c:pt>
                <c:pt idx="1">
                  <c:v>wk30 (Jul)</c:v>
                </c:pt>
                <c:pt idx="2">
                  <c:v>wk42</c:v>
                </c:pt>
                <c:pt idx="3">
                  <c:v>wk43</c:v>
                </c:pt>
                <c:pt idx="4">
                  <c:v>wk44</c:v>
                </c:pt>
              </c:strCache>
            </c:strRef>
          </c:cat>
          <c:val>
            <c:numRef>
              <c:f>'2025 Plan Shortbranches wkly'!$C$9:$G$9</c:f>
              <c:numCache>
                <c:formatCode>0</c:formatCode>
                <c:ptCount val="5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636A-42B9-A823-7C915F5171ED}"/>
            </c:ext>
          </c:extLst>
        </c:ser>
        <c:ser>
          <c:idx val="7"/>
          <c:order val="7"/>
          <c:tx>
            <c:strRef>
              <c:f>'2025 Plan Shortbranches wkly'!$A$13:$B$13</c:f>
              <c:strCache>
                <c:ptCount val="2"/>
                <c:pt idx="0">
                  <c:v>ACTUAL</c:v>
                </c:pt>
              </c:strCache>
            </c:strRef>
          </c:tx>
          <c:spPr>
            <a:ln w="57150" cap="rnd">
              <a:solidFill>
                <a:srgbClr val="2D8F78"/>
              </a:solidFill>
              <a:round/>
            </a:ln>
            <a:effectLst/>
          </c:spPr>
          <c:marker>
            <c:symbol val="circle"/>
            <c:size val="25"/>
            <c:spPr>
              <a:solidFill>
                <a:srgbClr val="2D8F78"/>
              </a:solidFill>
              <a:ln w="57150">
                <a:solidFill>
                  <a:srgbClr val="2D8F7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Shortbranches wkly'!$C$5:$G$5</c:f>
              <c:strCache>
                <c:ptCount val="5"/>
                <c:pt idx="0">
                  <c:v>wk1 (Jan)</c:v>
                </c:pt>
                <c:pt idx="1">
                  <c:v>wk30 (Jul)</c:v>
                </c:pt>
                <c:pt idx="2">
                  <c:v>wk42</c:v>
                </c:pt>
                <c:pt idx="3">
                  <c:v>wk43</c:v>
                </c:pt>
                <c:pt idx="4">
                  <c:v>wk44</c:v>
                </c:pt>
              </c:strCache>
            </c:strRef>
          </c:cat>
          <c:val>
            <c:numRef>
              <c:f>'2025 Plan Shortbranches wkly'!$C$13:$G$13</c:f>
              <c:numCache>
                <c:formatCode>0</c:formatCode>
                <c:ptCount val="5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6A-42B9-A823-7C915F5171E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'2025 Plan Shortbranches wkly'!$A$6:$B$6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bg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bg1">
                        <a:lumMod val="50000"/>
                      </a:schemeClr>
                    </a:solidFill>
                    <a:ln w="9525">
                      <a:solidFill>
                        <a:schemeClr val="bg1">
                          <a:lumMod val="5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5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'2025 Plan Shortbranches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Shortbranches wkly'!$C$6:$G$6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0.02</c:v>
                      </c:pt>
                      <c:pt idx="1">
                        <c:v>0.02</c:v>
                      </c:pt>
                      <c:pt idx="2">
                        <c:v>0.02</c:v>
                      </c:pt>
                      <c:pt idx="3">
                        <c:v>0.02</c:v>
                      </c:pt>
                      <c:pt idx="4">
                        <c:v>0.02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636A-42B9-A823-7C915F5171E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wkly'!$A$7:$B$7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wkly'!$C$7:$G$7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0.3</c:v>
                      </c:pt>
                      <c:pt idx="1">
                        <c:v>0.3</c:v>
                      </c:pt>
                      <c:pt idx="2">
                        <c:v>0.3</c:v>
                      </c:pt>
                      <c:pt idx="3">
                        <c:v>0.3</c:v>
                      </c:pt>
                      <c:pt idx="4">
                        <c:v>0.3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36A-42B9-A823-7C915F5171E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wkly'!$A$8:$B$8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wkly'!$C$8:$G$8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0.1</c:v>
                      </c:pt>
                      <c:pt idx="1">
                        <c:v>0.1</c:v>
                      </c:pt>
                      <c:pt idx="2">
                        <c:v>0.1</c:v>
                      </c:pt>
                      <c:pt idx="3">
                        <c:v>0.1</c:v>
                      </c:pt>
                      <c:pt idx="4">
                        <c:v>0.1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36A-42B9-A823-7C915F5171E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wkly'!$A$10:$B$10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5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wkly'!$C$10:$G$10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0.01</c:v>
                      </c:pt>
                      <c:pt idx="1">
                        <c:v>0.01</c:v>
                      </c:pt>
                      <c:pt idx="2">
                        <c:v>0.01</c:v>
                      </c:pt>
                      <c:pt idx="3">
                        <c:v>0.01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36A-42B9-A823-7C915F5171E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wkly'!$A$11:$B$11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wkly'!$C$11:$G$11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14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36A-42B9-A823-7C915F5171E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wkly'!$A$12:$B$12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wkly'!$C$12:$G$12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5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36A-42B9-A823-7C915F5171ED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384968904240742"/>
          <c:y val="0.86228923089159315"/>
          <c:w val="0.2959220862427574"/>
          <c:h val="8.2813975081178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baseline="0"/>
              <a:t>FURNACE</a:t>
            </a:r>
          </a:p>
          <a:p>
            <a:pPr>
              <a:defRPr sz="1800"/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Shortbranches (Weekly)</a:t>
            </a:r>
          </a:p>
        </c:rich>
      </c:tx>
      <c:layout>
        <c:manualLayout>
          <c:xMode val="edge"/>
          <c:yMode val="edge"/>
          <c:x val="0.36601921664273096"/>
          <c:y val="1.7911916148821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64613418505493136"/>
        </c:manualLayout>
      </c:layout>
      <c:lineChart>
        <c:grouping val="standard"/>
        <c:varyColors val="0"/>
        <c:ser>
          <c:idx val="2"/>
          <c:order val="2"/>
          <c:tx>
            <c:strRef>
              <c:f>'2025 Plan Shortbranches wkly'!$A$8:$B$8</c:f>
              <c:strCache>
                <c:ptCount val="2"/>
                <c:pt idx="0">
                  <c:v>PLAN</c:v>
                </c:pt>
              </c:strCache>
            </c:strRef>
          </c:tx>
          <c:spPr>
            <a:ln w="571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25"/>
            <c:spPr>
              <a:solidFill>
                <a:schemeClr val="bg1">
                  <a:lumMod val="50000"/>
                </a:schemeClr>
              </a:solidFill>
              <a:ln w="57150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Shortbranches wkly'!$C$5:$G$5</c:f>
              <c:strCache>
                <c:ptCount val="5"/>
                <c:pt idx="0">
                  <c:v>wk1 (Jan)</c:v>
                </c:pt>
                <c:pt idx="1">
                  <c:v>wk30 (Jul)</c:v>
                </c:pt>
                <c:pt idx="2">
                  <c:v>wk42</c:v>
                </c:pt>
                <c:pt idx="3">
                  <c:v>wk43</c:v>
                </c:pt>
                <c:pt idx="4">
                  <c:v>wk44</c:v>
                </c:pt>
              </c:strCache>
            </c:strRef>
          </c:cat>
          <c:val>
            <c:numRef>
              <c:f>'2025 Plan Shortbranches wkly'!$C$8:$G$8</c:f>
              <c:numCache>
                <c:formatCode>0</c:formatCode>
                <c:ptCount val="5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F95F-4BF0-8524-261D1E9108F0}"/>
            </c:ext>
          </c:extLst>
        </c:ser>
        <c:ser>
          <c:idx val="6"/>
          <c:order val="6"/>
          <c:tx>
            <c:strRef>
              <c:f>'2025 Plan Shortbranches wkly'!$A$12:$B$12</c:f>
              <c:strCache>
                <c:ptCount val="2"/>
                <c:pt idx="0">
                  <c:v>ACTUAL</c:v>
                </c:pt>
              </c:strCache>
            </c:strRef>
          </c:tx>
          <c:spPr>
            <a:ln w="57150" cap="rnd">
              <a:solidFill>
                <a:srgbClr val="2D8F78"/>
              </a:solidFill>
              <a:round/>
            </a:ln>
            <a:effectLst/>
          </c:spPr>
          <c:marker>
            <c:symbol val="circle"/>
            <c:size val="25"/>
            <c:spPr>
              <a:solidFill>
                <a:srgbClr val="2D8F78"/>
              </a:solidFill>
              <a:ln w="57150">
                <a:solidFill>
                  <a:srgbClr val="2D8F7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Shortbranches wkly'!$C$5:$G$5</c:f>
              <c:strCache>
                <c:ptCount val="5"/>
                <c:pt idx="0">
                  <c:v>wk1 (Jan)</c:v>
                </c:pt>
                <c:pt idx="1">
                  <c:v>wk30 (Jul)</c:v>
                </c:pt>
                <c:pt idx="2">
                  <c:v>wk42</c:v>
                </c:pt>
                <c:pt idx="3">
                  <c:v>wk43</c:v>
                </c:pt>
                <c:pt idx="4">
                  <c:v>wk44</c:v>
                </c:pt>
              </c:strCache>
            </c:strRef>
          </c:cat>
          <c:val>
            <c:numRef>
              <c:f>'2025 Plan Shortbranches wkly'!$C$12:$G$12</c:f>
              <c:numCache>
                <c:formatCode>0</c:formatCode>
                <c:ptCount val="5"/>
                <c:pt idx="0">
                  <c:v>5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5F-4BF0-8524-261D1E9108F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'2025 Plan Shortbranches wkly'!$A$6:$B$6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bg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bg1">
                        <a:lumMod val="50000"/>
                      </a:schemeClr>
                    </a:solidFill>
                    <a:ln w="9525">
                      <a:solidFill>
                        <a:schemeClr val="bg1">
                          <a:lumMod val="5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5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'2025 Plan Shortbranches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Shortbranches wkly'!$C$6:$G$6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0.02</c:v>
                      </c:pt>
                      <c:pt idx="1">
                        <c:v>0.02</c:v>
                      </c:pt>
                      <c:pt idx="2">
                        <c:v>0.02</c:v>
                      </c:pt>
                      <c:pt idx="3">
                        <c:v>0.02</c:v>
                      </c:pt>
                      <c:pt idx="4">
                        <c:v>0.02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F95F-4BF0-8524-261D1E9108F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wkly'!$A$7:$B$7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wkly'!$C$7:$G$7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0.3</c:v>
                      </c:pt>
                      <c:pt idx="1">
                        <c:v>0.3</c:v>
                      </c:pt>
                      <c:pt idx="2">
                        <c:v>0.3</c:v>
                      </c:pt>
                      <c:pt idx="3">
                        <c:v>0.3</c:v>
                      </c:pt>
                      <c:pt idx="4">
                        <c:v>0.3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95F-4BF0-8524-261D1E9108F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wkly'!$A$9:$B$9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wkly'!$C$9:$G$9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0.01</c:v>
                      </c:pt>
                      <c:pt idx="1">
                        <c:v>0.01</c:v>
                      </c:pt>
                      <c:pt idx="2">
                        <c:v>0.01</c:v>
                      </c:pt>
                      <c:pt idx="3">
                        <c:v>0.01</c:v>
                      </c:pt>
                      <c:pt idx="4">
                        <c:v>0.01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95F-4BF0-8524-261D1E9108F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wkly'!$A$10:$B$10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5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wkly'!$C$10:$G$10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0.01</c:v>
                      </c:pt>
                      <c:pt idx="1">
                        <c:v>0.01</c:v>
                      </c:pt>
                      <c:pt idx="2">
                        <c:v>0.01</c:v>
                      </c:pt>
                      <c:pt idx="3">
                        <c:v>0.01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95F-4BF0-8524-261D1E9108F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wkly'!$A$11:$B$11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wkly'!$C$11:$G$11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14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95F-4BF0-8524-261D1E9108F0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wkly'!$A$13:$B$13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wkly'!$C$13:$G$13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0.01</c:v>
                      </c:pt>
                      <c:pt idx="1">
                        <c:v>0.01</c:v>
                      </c:pt>
                      <c:pt idx="2">
                        <c:v>0.01</c:v>
                      </c:pt>
                      <c:pt idx="3">
                        <c:v>0.01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95F-4BF0-8524-261D1E9108F0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479570581389588"/>
          <c:y val="0.86228923089159315"/>
          <c:w val="0.26971663550900477"/>
          <c:h val="8.2813975081178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baseline="0"/>
              <a:t>DRYER - COALMILL</a:t>
            </a:r>
          </a:p>
          <a:p>
            <a:pPr>
              <a:defRPr sz="1800"/>
            </a:pPr>
            <a:r>
              <a:rPr lang="en-US" sz="1800" b="0" baseline="0"/>
              <a:t>Shortbranches (Weekly)</a:t>
            </a:r>
            <a:endParaRPr lang="en-US" sz="1800" b="0"/>
          </a:p>
        </c:rich>
      </c:tx>
      <c:layout>
        <c:manualLayout>
          <c:xMode val="edge"/>
          <c:yMode val="edge"/>
          <c:x val="0.36268111680615395"/>
          <c:y val="1.02985521078639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65162386445765441"/>
        </c:manualLayout>
      </c:layout>
      <c:lineChart>
        <c:grouping val="standard"/>
        <c:varyColors val="0"/>
        <c:ser>
          <c:idx val="1"/>
          <c:order val="1"/>
          <c:tx>
            <c:strRef>
              <c:f>'2025 Plan Shortbranches wkly'!$A$7:$B$7</c:f>
              <c:strCache>
                <c:ptCount val="2"/>
                <c:pt idx="0">
                  <c:v>PLAN</c:v>
                </c:pt>
              </c:strCache>
            </c:strRef>
          </c:tx>
          <c:spPr>
            <a:ln w="571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28"/>
            <c:spPr>
              <a:solidFill>
                <a:schemeClr val="bg1">
                  <a:lumMod val="50000"/>
                </a:schemeClr>
              </a:solidFill>
              <a:ln w="57150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Shortbranches wkly'!$C$5:$G$5</c:f>
              <c:strCache>
                <c:ptCount val="5"/>
                <c:pt idx="0">
                  <c:v>wk1 (Jan)</c:v>
                </c:pt>
                <c:pt idx="1">
                  <c:v>wk30 (Jul)</c:v>
                </c:pt>
                <c:pt idx="2">
                  <c:v>wk42</c:v>
                </c:pt>
                <c:pt idx="3">
                  <c:v>wk43</c:v>
                </c:pt>
                <c:pt idx="4">
                  <c:v>wk44</c:v>
                </c:pt>
              </c:strCache>
            </c:strRef>
          </c:cat>
          <c:val>
            <c:numRef>
              <c:f>'2025 Plan Shortbranches wkly'!$C$7:$G$7</c:f>
              <c:numCache>
                <c:formatCode>0</c:formatCode>
                <c:ptCount val="5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AD50-493C-BC0A-742A276DD084}"/>
            </c:ext>
          </c:extLst>
        </c:ser>
        <c:ser>
          <c:idx val="5"/>
          <c:order val="5"/>
          <c:tx>
            <c:strRef>
              <c:f>'2025 Plan Shortbranches wkly'!$A$11:$B$11</c:f>
              <c:strCache>
                <c:ptCount val="2"/>
                <c:pt idx="0">
                  <c:v>ACTUAL</c:v>
                </c:pt>
              </c:strCache>
            </c:strRef>
          </c:tx>
          <c:spPr>
            <a:ln w="57150" cap="rnd">
              <a:solidFill>
                <a:srgbClr val="2D8F78"/>
              </a:solidFill>
              <a:round/>
            </a:ln>
            <a:effectLst/>
          </c:spPr>
          <c:marker>
            <c:symbol val="circle"/>
            <c:size val="28"/>
            <c:spPr>
              <a:solidFill>
                <a:srgbClr val="2D8F78"/>
              </a:solidFill>
              <a:ln w="57150">
                <a:solidFill>
                  <a:srgbClr val="2D8F7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Shortbranches wkly'!$C$5:$G$5</c:f>
              <c:strCache>
                <c:ptCount val="5"/>
                <c:pt idx="0">
                  <c:v>wk1 (Jan)</c:v>
                </c:pt>
                <c:pt idx="1">
                  <c:v>wk30 (Jul)</c:v>
                </c:pt>
                <c:pt idx="2">
                  <c:v>wk42</c:v>
                </c:pt>
                <c:pt idx="3">
                  <c:v>wk43</c:v>
                </c:pt>
                <c:pt idx="4">
                  <c:v>wk44</c:v>
                </c:pt>
              </c:strCache>
            </c:strRef>
          </c:cat>
          <c:val>
            <c:numRef>
              <c:f>'2025 Plan Shortbranches wkly'!$C$11:$G$11</c:f>
              <c:numCache>
                <c:formatCode>0</c:formatCode>
                <c:ptCount val="5"/>
                <c:pt idx="0">
                  <c:v>14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50-493C-BC0A-742A276DD08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'2025 Plan Shortbranches wkly'!$A$6:$B$6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bg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bg1">
                        <a:lumMod val="50000"/>
                      </a:schemeClr>
                    </a:solidFill>
                    <a:ln w="9525">
                      <a:solidFill>
                        <a:schemeClr val="bg1">
                          <a:lumMod val="5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5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'2025 Plan Shortbranches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Shortbranches wkly'!$C$6:$G$6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0.02</c:v>
                      </c:pt>
                      <c:pt idx="1">
                        <c:v>0.02</c:v>
                      </c:pt>
                      <c:pt idx="2">
                        <c:v>0.02</c:v>
                      </c:pt>
                      <c:pt idx="3">
                        <c:v>0.02</c:v>
                      </c:pt>
                      <c:pt idx="4">
                        <c:v>0.02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D50-493C-BC0A-742A276DD08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wkly'!$A$8:$B$8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wkly'!$C$8:$G$8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0.1</c:v>
                      </c:pt>
                      <c:pt idx="1">
                        <c:v>0.1</c:v>
                      </c:pt>
                      <c:pt idx="2">
                        <c:v>0.1</c:v>
                      </c:pt>
                      <c:pt idx="3">
                        <c:v>0.1</c:v>
                      </c:pt>
                      <c:pt idx="4">
                        <c:v>0.1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D50-493C-BC0A-742A276DD08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wkly'!$A$9:$B$9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wkly'!$C$9:$G$9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0.01</c:v>
                      </c:pt>
                      <c:pt idx="1">
                        <c:v>0.01</c:v>
                      </c:pt>
                      <c:pt idx="2">
                        <c:v>0.01</c:v>
                      </c:pt>
                      <c:pt idx="3">
                        <c:v>0.01</c:v>
                      </c:pt>
                      <c:pt idx="4">
                        <c:v>0.01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D50-493C-BC0A-742A276DD08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wkly'!$A$10:$B$10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5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wkly'!$C$10:$G$10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0.01</c:v>
                      </c:pt>
                      <c:pt idx="1">
                        <c:v>0.01</c:v>
                      </c:pt>
                      <c:pt idx="2">
                        <c:v>0.01</c:v>
                      </c:pt>
                      <c:pt idx="3">
                        <c:v>0.01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D50-493C-BC0A-742A276DD08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wkly'!$A$12:$B$12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wkly'!$C$12:$G$12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5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D50-493C-BC0A-742A276DD08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wkly'!$A$13:$B$13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wkly'!$C$13:$G$13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0.01</c:v>
                      </c:pt>
                      <c:pt idx="1">
                        <c:v>0.01</c:v>
                      </c:pt>
                      <c:pt idx="2">
                        <c:v>0.01</c:v>
                      </c:pt>
                      <c:pt idx="3">
                        <c:v>0.01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D50-493C-BC0A-742A276DD084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Vale Sans" panose="020B0503020204030204" pitchFamily="34" charset="0"/>
                <a:ea typeface="+mn-ea"/>
                <a:cs typeface="+mn-cs"/>
              </a:defRPr>
            </a:pPr>
            <a:r>
              <a:rPr lang="en-US" sz="1800" b="1" baseline="0">
                <a:latin typeface="Vale Sans" panose="020B0503020204030204" pitchFamily="34" charset="0"/>
              </a:rPr>
              <a:t>FURNACE</a:t>
            </a:r>
          </a:p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Vale Sans" panose="020B0503020204030204" pitchFamily="34" charset="0"/>
                <a:ea typeface="+mn-ea"/>
                <a:cs typeface="+mn-cs"/>
              </a:defRPr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Vale Sans" panose="020B0503020204030204" pitchFamily="34" charset="0"/>
              </a:rPr>
              <a:t>Shortbranches 2025</a:t>
            </a:r>
          </a:p>
        </c:rich>
      </c:tx>
      <c:layout>
        <c:manualLayout>
          <c:xMode val="edge"/>
          <c:yMode val="edge"/>
          <c:x val="0.37256517317678794"/>
          <c:y val="2.325379399690423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64613418505493136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'2025 Plan Shortbranches wkly'!$A$8:$B$8</c:f>
              <c:strCache>
                <c:ptCount val="2"/>
                <c:pt idx="0">
                  <c:v>PLAN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6350">
              <a:solidFill>
                <a:schemeClr val="bg1">
                  <a:lumMod val="75000"/>
                </a:schemeClr>
              </a:soli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4376-4919-A322-34433A20DB8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4376-4919-A322-34433A20DB8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4376-4919-A322-34433A20DB8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4376-4919-A322-34433A20DB8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4376-4919-A322-34433A20DB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Vale Sans" panose="020B0503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Shortbranches wkly'!$C$5:$G$5</c:f>
              <c:strCache>
                <c:ptCount val="5"/>
                <c:pt idx="0">
                  <c:v>wk1 (Jan)</c:v>
                </c:pt>
                <c:pt idx="1">
                  <c:v>wk30 (Jul)</c:v>
                </c:pt>
                <c:pt idx="2">
                  <c:v>wk42</c:v>
                </c:pt>
                <c:pt idx="3">
                  <c:v>wk43</c:v>
                </c:pt>
                <c:pt idx="4">
                  <c:v>wk44</c:v>
                </c:pt>
              </c:strCache>
            </c:strRef>
          </c:cat>
          <c:val>
            <c:numRef>
              <c:f>'2025 Plan Shortbranches wkly'!$C$8:$G$8</c:f>
              <c:numCache>
                <c:formatCode>0</c:formatCode>
                <c:ptCount val="5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4376-4919-A322-34433A20DB8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50571840"/>
        <c:axId val="95056716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'2025 Plan Shortbranches wkly'!$A$6:$B$6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solidFill>
                      <a:schemeClr val="bg1">
                        <a:lumMod val="50000"/>
                      </a:schemeClr>
                    </a:solidFill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5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'2025 Plan Shortbranches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Shortbranches wkly'!$C$6:$G$6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0.02</c:v>
                      </c:pt>
                      <c:pt idx="1">
                        <c:v>0.02</c:v>
                      </c:pt>
                      <c:pt idx="2">
                        <c:v>0.02</c:v>
                      </c:pt>
                      <c:pt idx="3">
                        <c:v>0.02</c:v>
                      </c:pt>
                      <c:pt idx="4">
                        <c:v>0.02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4376-4919-A322-34433A20DB84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wkly'!$A$7:$B$7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wkly'!$C$7:$G$7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0.3</c:v>
                      </c:pt>
                      <c:pt idx="1">
                        <c:v>0.3</c:v>
                      </c:pt>
                      <c:pt idx="2">
                        <c:v>0.3</c:v>
                      </c:pt>
                      <c:pt idx="3">
                        <c:v>0.3</c:v>
                      </c:pt>
                      <c:pt idx="4">
                        <c:v>0.3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376-4919-A322-34433A20DB8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wkly'!$A$9:$B$9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wkly'!$C$9:$G$9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0.01</c:v>
                      </c:pt>
                      <c:pt idx="1">
                        <c:v>0.01</c:v>
                      </c:pt>
                      <c:pt idx="2">
                        <c:v>0.01</c:v>
                      </c:pt>
                      <c:pt idx="3">
                        <c:v>0.01</c:v>
                      </c:pt>
                      <c:pt idx="4">
                        <c:v>0.01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376-4919-A322-34433A20DB84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wkly'!$A$10:$B$10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5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wkly'!$C$10:$G$10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0.01</c:v>
                      </c:pt>
                      <c:pt idx="1">
                        <c:v>0.01</c:v>
                      </c:pt>
                      <c:pt idx="2">
                        <c:v>0.01</c:v>
                      </c:pt>
                      <c:pt idx="3">
                        <c:v>0.01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376-4919-A322-34433A20DB84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wkly'!$A$11:$B$11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wkly'!$C$11:$G$11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14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376-4919-A322-34433A20DB84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wkly'!$A$13:$B$13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wkly'!$C$13:$G$13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0.01</c:v>
                      </c:pt>
                      <c:pt idx="1">
                        <c:v>0.01</c:v>
                      </c:pt>
                      <c:pt idx="2">
                        <c:v>0.01</c:v>
                      </c:pt>
                      <c:pt idx="3">
                        <c:v>0.01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376-4919-A322-34433A20DB84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6"/>
          <c:order val="6"/>
          <c:tx>
            <c:strRef>
              <c:f>'2025 Plan Shortbranches wkly'!$A$12:$B$12</c:f>
              <c:strCache>
                <c:ptCount val="2"/>
                <c:pt idx="0">
                  <c:v>ACTUAL</c:v>
                </c:pt>
              </c:strCache>
            </c:strRef>
          </c:tx>
          <c:spPr>
            <a:ln w="57150" cap="rnd">
              <a:solidFill>
                <a:srgbClr val="2D8F78"/>
              </a:solidFill>
              <a:round/>
            </a:ln>
            <a:effectLst/>
          </c:spPr>
          <c:marker>
            <c:symbol val="square"/>
            <c:size val="26"/>
            <c:spPr>
              <a:solidFill>
                <a:srgbClr val="2D8F78"/>
              </a:solidFill>
              <a:ln w="57150">
                <a:solidFill>
                  <a:srgbClr val="2D8F7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0" rIns="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Vale Sans" panose="020B0503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Shortbranches wkly'!$C$5:$G$5</c:f>
              <c:strCache>
                <c:ptCount val="5"/>
                <c:pt idx="0">
                  <c:v>wk1 (Jan)</c:v>
                </c:pt>
                <c:pt idx="1">
                  <c:v>wk30 (Jul)</c:v>
                </c:pt>
                <c:pt idx="2">
                  <c:v>wk42</c:v>
                </c:pt>
                <c:pt idx="3">
                  <c:v>wk43</c:v>
                </c:pt>
                <c:pt idx="4">
                  <c:v>wk44</c:v>
                </c:pt>
              </c:strCache>
            </c:strRef>
          </c:cat>
          <c:val>
            <c:numRef>
              <c:f>'2025 Plan Shortbranches wkly'!$C$12:$G$12</c:f>
              <c:numCache>
                <c:formatCode>0</c:formatCode>
                <c:ptCount val="5"/>
                <c:pt idx="0">
                  <c:v>5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76-4919-A322-34433A20D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ale Sans" panose="020B0503020204030204" pitchFamily="34" charset="0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  <c:max val="7"/>
        </c:scaling>
        <c:delete val="1"/>
        <c:axPos val="l"/>
        <c:numFmt formatCode="0" sourceLinked="1"/>
        <c:majorTickMark val="out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479570581389588"/>
          <c:y val="0.86228923089159315"/>
          <c:w val="0.27280482587244975"/>
          <c:h val="6.74635884481676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ale Sans" panose="020B0503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DD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Vale Sans" panose="020B0503020204030204" pitchFamily="34" charset="0"/>
                <a:ea typeface="+mn-ea"/>
                <a:cs typeface="+mn-cs"/>
              </a:defRPr>
            </a:pPr>
            <a:r>
              <a:rPr lang="en-US" sz="1800" b="1" baseline="0">
                <a:solidFill>
                  <a:schemeClr val="tx1">
                    <a:lumMod val="75000"/>
                    <a:lumOff val="25000"/>
                  </a:schemeClr>
                </a:solidFill>
                <a:latin typeface="Vale Sans" panose="020B0503020204030204" pitchFamily="34" charset="0"/>
              </a:rPr>
              <a:t>KILN-CTS</a:t>
            </a:r>
          </a:p>
          <a:p>
            <a:pPr>
              <a:defRPr sz="1800">
                <a:solidFill>
                  <a:schemeClr val="tx1">
                    <a:lumMod val="75000"/>
                    <a:lumOff val="25000"/>
                  </a:schemeClr>
                </a:solidFill>
                <a:latin typeface="Vale Sans" panose="020B0503020204030204" pitchFamily="34" charset="0"/>
              </a:defRPr>
            </a:pPr>
            <a:r>
              <a:rPr lang="en-US" sz="18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Vale Sans" panose="020B0503020204030204" pitchFamily="34" charset="0"/>
              </a:rPr>
              <a:t>Shortbranches 2025</a:t>
            </a:r>
          </a:p>
        </c:rich>
      </c:tx>
      <c:layout>
        <c:manualLayout>
          <c:xMode val="edge"/>
          <c:yMode val="edge"/>
          <c:x val="0.36927081398481354"/>
          <c:y val="3.39375546806649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75000"/>
                  <a:lumOff val="25000"/>
                </a:schemeClr>
              </a:solidFill>
              <a:latin typeface="Vale Sans" panose="020B0503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646134185054931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'2025 Plan Shortbranches wkly'!$A$6:$B$6</c:f>
              <c:strCache>
                <c:ptCount val="2"/>
                <c:pt idx="0">
                  <c:v>PLAN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6496304438129376E-3"/>
                  <c:y val="-2.136752136752146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4EBA-43C3-A992-CC917BF67A10}"/>
                </c:ext>
              </c:extLst>
            </c:dLbl>
            <c:dLbl>
              <c:idx val="1"/>
              <c:layout>
                <c:manualLayout>
                  <c:x val="1.6496304438129376E-3"/>
                  <c:y val="-1.869658119658129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4EBA-43C3-A992-CC917BF67A10}"/>
                </c:ext>
              </c:extLst>
            </c:dLbl>
            <c:dLbl>
              <c:idx val="2"/>
              <c:layout>
                <c:manualLayout>
                  <c:x val="0"/>
                  <c:y val="-1.335470085470095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4EBA-43C3-A992-CC917BF67A10}"/>
                </c:ext>
              </c:extLst>
            </c:dLbl>
            <c:dLbl>
              <c:idx val="3"/>
              <c:layout>
                <c:manualLayout>
                  <c:x val="0"/>
                  <c:y val="-1.335470085470095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4EBA-43C3-A992-CC917BF67A1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4EBA-43C3-A992-CC917BF67A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ale Sans" panose="020B0503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Shortbranches wkly'!$C$5:$G$5</c:f>
              <c:strCache>
                <c:ptCount val="5"/>
                <c:pt idx="0">
                  <c:v>wk1 (Jan)</c:v>
                </c:pt>
                <c:pt idx="1">
                  <c:v>wk30 (Jul)</c:v>
                </c:pt>
                <c:pt idx="2">
                  <c:v>wk42</c:v>
                </c:pt>
                <c:pt idx="3">
                  <c:v>wk43</c:v>
                </c:pt>
                <c:pt idx="4">
                  <c:v>wk44</c:v>
                </c:pt>
              </c:strCache>
            </c:strRef>
          </c:cat>
          <c:val>
            <c:numRef>
              <c:f>'2025 Plan Shortbranches wkly'!$C$6:$G$6</c:f>
              <c:numCache>
                <c:formatCode>0</c:formatCode>
                <c:ptCount val="5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4EBA-43C3-A992-CC917BF67A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50571840"/>
        <c:axId val="95056716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'2025 Plan Shortbranches wkly'!$A$7:$B$7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'2025 Plan Shortbranches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Shortbranches wkly'!$C$7:$G$7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0.3</c:v>
                      </c:pt>
                      <c:pt idx="1">
                        <c:v>0.3</c:v>
                      </c:pt>
                      <c:pt idx="2">
                        <c:v>0.3</c:v>
                      </c:pt>
                      <c:pt idx="3">
                        <c:v>0.3</c:v>
                      </c:pt>
                      <c:pt idx="4">
                        <c:v>0.3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4EBA-43C3-A992-CC917BF67A10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wkly'!$A$8:$B$8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bg1">
                      <a:lumMod val="75000"/>
                    </a:schemeClr>
                  </a:solidFill>
                  <a:ln w="6350">
                    <a:solidFill>
                      <a:schemeClr val="bg1">
                        <a:lumMod val="75000"/>
                      </a:schemeClr>
                    </a:solidFill>
                  </a:ln>
                  <a:effectLst/>
                </c:spPr>
                <c:invertIfNegative val="0"/>
                <c:dLbls>
                  <c:dLbl>
                    <c:idx val="0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0</a:t>
                          </a:r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0-4EBA-43C3-A992-CC917BF67A10}"/>
                      </c:ext>
                    </c:extLst>
                  </c:dLbl>
                  <c:dLbl>
                    <c:idx val="1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0</a:t>
                          </a:r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1-4EBA-43C3-A992-CC917BF67A10}"/>
                      </c:ext>
                    </c:extLst>
                  </c:dLbl>
                  <c:dLbl>
                    <c:idx val="2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0</a:t>
                          </a:r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2-4EBA-43C3-A992-CC917BF67A10}"/>
                      </c:ext>
                    </c:extLst>
                  </c:dLbl>
                  <c:dLbl>
                    <c:idx val="3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0</a:t>
                          </a:r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3-4EBA-43C3-A992-CC917BF67A10}"/>
                      </c:ext>
                    </c:extLst>
                  </c:dLbl>
                  <c:dLbl>
                    <c:idx val="4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0</a:t>
                          </a:r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4-4EBA-43C3-A992-CC917BF67A1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1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Vale Sans" panose="020B050302020403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wkly'!$C$8:$G$8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0.1</c:v>
                      </c:pt>
                      <c:pt idx="1">
                        <c:v>0.1</c:v>
                      </c:pt>
                      <c:pt idx="2">
                        <c:v>0.1</c:v>
                      </c:pt>
                      <c:pt idx="3">
                        <c:v>0.1</c:v>
                      </c:pt>
                      <c:pt idx="4">
                        <c:v>0.1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EBA-43C3-A992-CC917BF67A1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wkly'!$A$9:$B$9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wkly'!$C$9:$G$9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0.01</c:v>
                      </c:pt>
                      <c:pt idx="1">
                        <c:v>0.01</c:v>
                      </c:pt>
                      <c:pt idx="2">
                        <c:v>0.01</c:v>
                      </c:pt>
                      <c:pt idx="3">
                        <c:v>0.01</c:v>
                      </c:pt>
                      <c:pt idx="4">
                        <c:v>0.01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4EBA-43C3-A992-CC917BF67A10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wkly'!$A$11:$B$11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wkly'!$C$11:$G$11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14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4EBA-43C3-A992-CC917BF67A10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wkly'!$A$13:$B$13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wkly'!$C$13:$G$13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0.01</c:v>
                      </c:pt>
                      <c:pt idx="1">
                        <c:v>0.01</c:v>
                      </c:pt>
                      <c:pt idx="2">
                        <c:v>0.01</c:v>
                      </c:pt>
                      <c:pt idx="3">
                        <c:v>0.01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4EBA-43C3-A992-CC917BF67A10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'2025 Plan Shortbranches wkly'!$A$10:$B$10</c:f>
              <c:strCache>
                <c:ptCount val="2"/>
                <c:pt idx="0">
                  <c:v>ACTUAL</c:v>
                </c:pt>
              </c:strCache>
            </c:strRef>
          </c:tx>
          <c:spPr>
            <a:ln w="57150" cap="rnd">
              <a:solidFill>
                <a:srgbClr val="2D8F78"/>
              </a:solidFill>
              <a:round/>
            </a:ln>
            <a:effectLst/>
          </c:spPr>
          <c:marker>
            <c:symbol val="square"/>
            <c:size val="26"/>
            <c:spPr>
              <a:solidFill>
                <a:srgbClr val="2D8F78"/>
              </a:solidFill>
              <a:ln w="57150">
                <a:solidFill>
                  <a:srgbClr val="2D8F7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Vale Sans" panose="020B0503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Shortbranches wkly'!$C$5:$G$5</c:f>
              <c:strCache>
                <c:ptCount val="5"/>
                <c:pt idx="0">
                  <c:v>wk1 (Jan)</c:v>
                </c:pt>
                <c:pt idx="1">
                  <c:v>wk30 (Jul)</c:v>
                </c:pt>
                <c:pt idx="2">
                  <c:v>wk42</c:v>
                </c:pt>
                <c:pt idx="3">
                  <c:v>wk43</c:v>
                </c:pt>
                <c:pt idx="4">
                  <c:v>wk44</c:v>
                </c:pt>
              </c:strCache>
            </c:strRef>
          </c:cat>
          <c:val>
            <c:numRef>
              <c:f>'2025 Plan Shortbranches wkly'!$C$10:$G$10</c:f>
              <c:numCache>
                <c:formatCode>0</c:formatCode>
                <c:ptCount val="5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4EBA-43C3-A992-CC917BF67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'2025 Plan Shortbranches wkly'!$A$12:$B$12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57150" cap="rnd">
                    <a:solidFill>
                      <a:srgbClr val="2D8F78"/>
                    </a:solidFill>
                    <a:round/>
                  </a:ln>
                  <a:effectLst/>
                </c:spPr>
                <c:marker>
                  <c:symbol val="square"/>
                  <c:size val="26"/>
                  <c:spPr>
                    <a:solidFill>
                      <a:srgbClr val="2D8F78"/>
                    </a:solidFill>
                    <a:ln w="57150">
                      <a:solidFill>
                        <a:srgbClr val="2D8F78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horzOverflow="clip" vert="horz" wrap="square" lIns="38100" tIns="0" rIns="0" bIns="19050" anchor="ctr" anchorCtr="1">
                      <a:spAutoFit/>
                    </a:bodyPr>
                    <a:lstStyle/>
                    <a:p>
                      <a:pPr>
                        <a:defRPr sz="2000" b="1" i="0" u="none" strike="noStrike" kern="1200" baseline="0">
                          <a:solidFill>
                            <a:schemeClr val="bg1"/>
                          </a:solidFill>
                          <a:latin typeface="Vale Sans" panose="020B050302020403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pPr xmlns:c15="http://schemas.microsoft.com/office/drawing/2012/chart"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c15:spPr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'2025 Plan Shortbranches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Shortbranches wkly'!$C$12:$G$12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5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4EBA-43C3-A992-CC917BF67A10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Vale Sans" panose="020B0503020204030204" pitchFamily="34" charset="0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  <c:max val="1"/>
          <c:min val="0"/>
        </c:scaling>
        <c:delete val="1"/>
        <c:axPos val="l"/>
        <c:numFmt formatCode="0" sourceLinked="1"/>
        <c:majorTickMark val="out"/>
        <c:minorTickMark val="none"/>
        <c:tickLblPos val="nextTo"/>
        <c:crossAx val="950571840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479570581389588"/>
          <c:y val="0.86228923089159315"/>
          <c:w val="0.27280482587244975"/>
          <c:h val="6.74635884481676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Vale Sans" panose="020B0503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DD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Vale Sans" panose="020B0503020204030204" pitchFamily="34" charset="0"/>
                <a:ea typeface="+mn-ea"/>
                <a:cs typeface="+mn-cs"/>
              </a:defRPr>
            </a:pPr>
            <a:r>
              <a:rPr lang="en-US" sz="1800" b="1" baseline="0">
                <a:solidFill>
                  <a:schemeClr val="tx1">
                    <a:lumMod val="75000"/>
                    <a:lumOff val="25000"/>
                  </a:schemeClr>
                </a:solidFill>
                <a:latin typeface="Vale Sans" panose="020B0503020204030204" pitchFamily="34" charset="0"/>
              </a:rPr>
              <a:t>DRYER-CM</a:t>
            </a:r>
          </a:p>
          <a:p>
            <a:pPr>
              <a:defRPr sz="1800">
                <a:solidFill>
                  <a:schemeClr val="tx1">
                    <a:lumMod val="75000"/>
                    <a:lumOff val="25000"/>
                  </a:schemeClr>
                </a:solidFill>
                <a:latin typeface="Vale Sans" panose="020B0503020204030204" pitchFamily="34" charset="0"/>
              </a:defRPr>
            </a:pPr>
            <a:r>
              <a:rPr lang="en-US" sz="18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Vale Sans" panose="020B0503020204030204" pitchFamily="34" charset="0"/>
              </a:rPr>
              <a:t>Shortbranches 2025</a:t>
            </a:r>
          </a:p>
        </c:rich>
      </c:tx>
      <c:layout>
        <c:manualLayout>
          <c:xMode val="edge"/>
          <c:yMode val="edge"/>
          <c:x val="0.3775189662038782"/>
          <c:y val="2.32537939969042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75000"/>
                  <a:lumOff val="25000"/>
                </a:schemeClr>
              </a:solidFill>
              <a:latin typeface="Vale Sans" panose="020B0503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646134185054931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'2025 Plan Shortbranches wkly'!$A$7:$B$7</c:f>
              <c:strCache>
                <c:ptCount val="2"/>
                <c:pt idx="0">
                  <c:v>PLAN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0DFB-4C2B-A35D-1399D590E95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0DFB-4C2B-A35D-1399D590E95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0DFB-4C2B-A35D-1399D590E95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0DFB-4C2B-A35D-1399D590E95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0DFB-4C2B-A35D-1399D590E9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ale Sans" panose="020B0503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Shortbranches wkly'!$C$5:$G$5</c:f>
              <c:strCache>
                <c:ptCount val="5"/>
                <c:pt idx="0">
                  <c:v>wk1 (Jan)</c:v>
                </c:pt>
                <c:pt idx="1">
                  <c:v>wk30 (Jul)</c:v>
                </c:pt>
                <c:pt idx="2">
                  <c:v>wk42</c:v>
                </c:pt>
                <c:pt idx="3">
                  <c:v>wk43</c:v>
                </c:pt>
                <c:pt idx="4">
                  <c:v>wk44</c:v>
                </c:pt>
              </c:strCache>
              <c:extLst xmlns:c15="http://schemas.microsoft.com/office/drawing/2012/chart"/>
            </c:strRef>
          </c:cat>
          <c:val>
            <c:numRef>
              <c:f>'2025 Plan Shortbranches wkly'!$C$7:$G$7</c:f>
              <c:numCache>
                <c:formatCode>0</c:formatCode>
                <c:ptCount val="5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0DFB-4C2B-A35D-1399D590E95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50571840"/>
        <c:axId val="95056716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'2025 Plan Shortbranches wkly'!$A$7:$B$7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'2025 Plan Shortbranches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Shortbranches wkly'!$C$7:$G$7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0.3</c:v>
                      </c:pt>
                      <c:pt idx="1">
                        <c:v>0.3</c:v>
                      </c:pt>
                      <c:pt idx="2">
                        <c:v>0.3</c:v>
                      </c:pt>
                      <c:pt idx="3">
                        <c:v>0.3</c:v>
                      </c:pt>
                      <c:pt idx="4">
                        <c:v>0.3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B-0DFB-4C2B-A35D-1399D590E95B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wkly'!$A$8:$B$8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bg1">
                      <a:lumMod val="75000"/>
                    </a:schemeClr>
                  </a:solidFill>
                  <a:ln w="6350">
                    <a:solidFill>
                      <a:schemeClr val="bg1">
                        <a:lumMod val="75000"/>
                      </a:schemeClr>
                    </a:solidFill>
                  </a:ln>
                  <a:effectLst/>
                </c:spPr>
                <c:invertIfNegative val="0"/>
                <c:dLbls>
                  <c:dLbl>
                    <c:idx val="0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0</a:t>
                          </a:r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C-0DFB-4C2B-A35D-1399D590E95B}"/>
                      </c:ext>
                    </c:extLst>
                  </c:dLbl>
                  <c:dLbl>
                    <c:idx val="1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0</a:t>
                          </a:r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D-0DFB-4C2B-A35D-1399D590E95B}"/>
                      </c:ext>
                    </c:extLst>
                  </c:dLbl>
                  <c:dLbl>
                    <c:idx val="2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0</a:t>
                          </a:r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E-0DFB-4C2B-A35D-1399D590E95B}"/>
                      </c:ext>
                    </c:extLst>
                  </c:dLbl>
                  <c:dLbl>
                    <c:idx val="3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0</a:t>
                          </a:r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F-0DFB-4C2B-A35D-1399D590E95B}"/>
                      </c:ext>
                    </c:extLst>
                  </c:dLbl>
                  <c:dLbl>
                    <c:idx val="4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0</a:t>
                          </a:r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10-0DFB-4C2B-A35D-1399D590E95B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1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Vale Sans" panose="020B050302020403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wkly'!$C$8:$G$8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0.1</c:v>
                      </c:pt>
                      <c:pt idx="1">
                        <c:v>0.1</c:v>
                      </c:pt>
                      <c:pt idx="2">
                        <c:v>0.1</c:v>
                      </c:pt>
                      <c:pt idx="3">
                        <c:v>0.1</c:v>
                      </c:pt>
                      <c:pt idx="4">
                        <c:v>0.1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0DFB-4C2B-A35D-1399D590E95B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wkly'!$A$9:$B$9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wkly'!$C$9:$G$9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0.01</c:v>
                      </c:pt>
                      <c:pt idx="1">
                        <c:v>0.01</c:v>
                      </c:pt>
                      <c:pt idx="2">
                        <c:v>0.01</c:v>
                      </c:pt>
                      <c:pt idx="3">
                        <c:v>0.01</c:v>
                      </c:pt>
                      <c:pt idx="4">
                        <c:v>0.01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0DFB-4C2B-A35D-1399D590E95B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wkly'!$A$11:$B$11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wkly'!$C$11:$G$11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14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0DFB-4C2B-A35D-1399D590E95B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wkly'!$A$13:$B$13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wkly'!$C$13:$G$13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0.01</c:v>
                      </c:pt>
                      <c:pt idx="1">
                        <c:v>0.01</c:v>
                      </c:pt>
                      <c:pt idx="2">
                        <c:v>0.01</c:v>
                      </c:pt>
                      <c:pt idx="3">
                        <c:v>0.01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0DFB-4C2B-A35D-1399D590E95B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'2025 Plan Shortbranches wkly'!$A$11:$B$11</c:f>
              <c:strCache>
                <c:ptCount val="2"/>
                <c:pt idx="0">
                  <c:v>ACTUAL</c:v>
                </c:pt>
              </c:strCache>
            </c:strRef>
          </c:tx>
          <c:spPr>
            <a:ln w="57150" cap="rnd">
              <a:solidFill>
                <a:srgbClr val="2D8F78"/>
              </a:solidFill>
              <a:round/>
            </a:ln>
            <a:effectLst/>
          </c:spPr>
          <c:marker>
            <c:symbol val="square"/>
            <c:size val="26"/>
            <c:spPr>
              <a:solidFill>
                <a:srgbClr val="2D8F78"/>
              </a:solidFill>
              <a:ln w="57150">
                <a:solidFill>
                  <a:srgbClr val="2D8F7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Vale Sans" panose="020B0503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Shortbranches wkly'!$C$5:$G$5</c:f>
              <c:strCache>
                <c:ptCount val="5"/>
                <c:pt idx="0">
                  <c:v>wk1 (Jan)</c:v>
                </c:pt>
                <c:pt idx="1">
                  <c:v>wk30 (Jul)</c:v>
                </c:pt>
                <c:pt idx="2">
                  <c:v>wk42</c:v>
                </c:pt>
                <c:pt idx="3">
                  <c:v>wk43</c:v>
                </c:pt>
                <c:pt idx="4">
                  <c:v>wk44</c:v>
                </c:pt>
              </c:strCache>
              <c:extLst xmlns:c15="http://schemas.microsoft.com/office/drawing/2012/chart"/>
            </c:strRef>
          </c:cat>
          <c:val>
            <c:numRef>
              <c:f>'2025 Plan Shortbranches wkly'!$C$11:$G$11</c:f>
              <c:numCache>
                <c:formatCode>0</c:formatCode>
                <c:ptCount val="5"/>
                <c:pt idx="0">
                  <c:v>14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0DFB-4C2B-A35D-1399D590E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'2025 Plan Shortbranches wkly'!$A$12:$B$12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57150" cap="rnd">
                    <a:solidFill>
                      <a:srgbClr val="2D8F78"/>
                    </a:solidFill>
                    <a:round/>
                  </a:ln>
                  <a:effectLst/>
                </c:spPr>
                <c:marker>
                  <c:symbol val="square"/>
                  <c:size val="26"/>
                  <c:spPr>
                    <a:solidFill>
                      <a:srgbClr val="2D8F78"/>
                    </a:solidFill>
                    <a:ln w="57150">
                      <a:solidFill>
                        <a:srgbClr val="2D8F78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horzOverflow="clip" vert="horz" wrap="square" lIns="38100" tIns="0" rIns="0" bIns="19050" anchor="ctr" anchorCtr="1">
                      <a:spAutoFit/>
                    </a:bodyPr>
                    <a:lstStyle/>
                    <a:p>
                      <a:pPr>
                        <a:defRPr sz="2000" b="1" i="0" u="none" strike="noStrike" kern="1200" baseline="0">
                          <a:solidFill>
                            <a:schemeClr val="bg1"/>
                          </a:solidFill>
                          <a:latin typeface="Vale Sans" panose="020B050302020403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pPr xmlns:c15="http://schemas.microsoft.com/office/drawing/2012/chart"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c15:spPr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'2025 Plan Shortbranches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Shortbranches wkly'!$C$12:$G$12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5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4-0DFB-4C2B-A35D-1399D590E95B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Vale Sans" panose="020B0503020204030204" pitchFamily="34" charset="0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  <c:max val="18"/>
        </c:scaling>
        <c:delete val="1"/>
        <c:axPos val="l"/>
        <c:numFmt formatCode="0" sourceLinked="1"/>
        <c:majorTickMark val="out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479570581389588"/>
          <c:y val="0.86228923089159315"/>
          <c:w val="0.27280482587244975"/>
          <c:h val="6.74635884481676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Vale Sans" panose="020B0503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DD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Vale Sans" panose="020B0503020204030204" pitchFamily="34" charset="0"/>
                <a:ea typeface="+mn-ea"/>
                <a:cs typeface="+mn-cs"/>
              </a:defRPr>
            </a:pPr>
            <a:r>
              <a:rPr lang="en-US" sz="1800" b="1" baseline="0">
                <a:solidFill>
                  <a:schemeClr val="tx1">
                    <a:lumMod val="75000"/>
                    <a:lumOff val="25000"/>
                  </a:schemeClr>
                </a:solidFill>
                <a:latin typeface="Vale Sans" panose="020B0503020204030204" pitchFamily="34" charset="0"/>
              </a:rPr>
              <a:t>CONVERTER</a:t>
            </a:r>
          </a:p>
          <a:p>
            <a:pPr>
              <a:defRPr sz="1800">
                <a:solidFill>
                  <a:schemeClr val="tx1">
                    <a:lumMod val="75000"/>
                    <a:lumOff val="25000"/>
                  </a:schemeClr>
                </a:solidFill>
                <a:latin typeface="Vale Sans" panose="020B0503020204030204" pitchFamily="34" charset="0"/>
              </a:defRPr>
            </a:pPr>
            <a:r>
              <a:rPr lang="en-US" sz="18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Vale Sans" panose="020B0503020204030204" pitchFamily="34" charset="0"/>
              </a:rPr>
              <a:t>Shortbranches 2025</a:t>
            </a:r>
          </a:p>
        </c:rich>
      </c:tx>
      <c:layout>
        <c:manualLayout>
          <c:xMode val="edge"/>
          <c:yMode val="edge"/>
          <c:x val="0.36761750611867988"/>
          <c:y val="3.39375546806649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75000"/>
                  <a:lumOff val="25000"/>
                </a:schemeClr>
              </a:solidFill>
              <a:latin typeface="Vale Sans" panose="020B0503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646134185054931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'2025 Plan Shortbranches wkly'!$A$9:$B$9</c:f>
              <c:strCache>
                <c:ptCount val="2"/>
                <c:pt idx="0">
                  <c:v>PLAN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5176057136192769E-17"/>
                  <c:y val="-2.858817395034139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7553-4835-A1A1-44E18A0D6EAC}"/>
                </c:ext>
              </c:extLst>
            </c:dLbl>
            <c:dLbl>
              <c:idx val="1"/>
              <c:layout>
                <c:manualLayout>
                  <c:x val="1.6555889946872539E-3"/>
                  <c:y val="-2.598924904576491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553-4835-A1A1-44E18A0D6EAC}"/>
                </c:ext>
              </c:extLst>
            </c:dLbl>
            <c:dLbl>
              <c:idx val="2"/>
              <c:layout>
                <c:manualLayout>
                  <c:x val="0"/>
                  <c:y val="-2.33903241411884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7553-4835-A1A1-44E18A0D6EAC}"/>
                </c:ext>
              </c:extLst>
            </c:dLbl>
            <c:dLbl>
              <c:idx val="3"/>
              <c:layout>
                <c:manualLayout>
                  <c:x val="-1.6619486354243352E-3"/>
                  <c:y val="-2.598929941449626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7553-4835-A1A1-44E18A0D6EA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7553-4835-A1A1-44E18A0D6E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ale Sans" panose="020B0503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Shortbranches wkly'!$C$5:$G$5</c:f>
              <c:strCache>
                <c:ptCount val="5"/>
                <c:pt idx="0">
                  <c:v>wk1 (Jan)</c:v>
                </c:pt>
                <c:pt idx="1">
                  <c:v>wk30 (Jul)</c:v>
                </c:pt>
                <c:pt idx="2">
                  <c:v>wk42</c:v>
                </c:pt>
                <c:pt idx="3">
                  <c:v>wk43</c:v>
                </c:pt>
                <c:pt idx="4">
                  <c:v>wk44</c:v>
                </c:pt>
              </c:strCache>
              <c:extLst xmlns:c15="http://schemas.microsoft.com/office/drawing/2012/chart"/>
            </c:strRef>
          </c:cat>
          <c:val>
            <c:numRef>
              <c:f>'2025 Plan Shortbranches wkly'!$C$9:$G$9</c:f>
              <c:numCache>
                <c:formatCode>0</c:formatCode>
                <c:ptCount val="5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7553-4835-A1A1-44E18A0D6EA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50571840"/>
        <c:axId val="95056716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'2025 Plan Shortbranches wkly'!$A$7:$B$7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bg1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Lbl>
                    <c:idx val="0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0</a:t>
                          </a:r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0-84A5-426F-A528-6A560F8B7A2B}"/>
                      </c:ext>
                    </c:extLst>
                  </c:dLbl>
                  <c:dLbl>
                    <c:idx val="1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0</a:t>
                          </a:r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1-84A5-426F-A528-6A560F8B7A2B}"/>
                      </c:ext>
                    </c:extLst>
                  </c:dLbl>
                  <c:dLbl>
                    <c:idx val="2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0</a:t>
                          </a:r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2-84A5-426F-A528-6A560F8B7A2B}"/>
                      </c:ext>
                    </c:extLst>
                  </c:dLbl>
                  <c:dLbl>
                    <c:idx val="3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0</a:t>
                          </a:r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3-84A5-426F-A528-6A560F8B7A2B}"/>
                      </c:ext>
                    </c:extLst>
                  </c:dLbl>
                  <c:dLbl>
                    <c:idx val="4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0</a:t>
                          </a:r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4-84A5-426F-A528-6A560F8B7A2B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'2025 Plan Shortbranches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Shortbranches wkly'!$C$7:$G$7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0.3</c:v>
                      </c:pt>
                      <c:pt idx="1">
                        <c:v>0.3</c:v>
                      </c:pt>
                      <c:pt idx="2">
                        <c:v>0.3</c:v>
                      </c:pt>
                      <c:pt idx="3">
                        <c:v>0.3</c:v>
                      </c:pt>
                      <c:pt idx="4">
                        <c:v>0.3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7553-4835-A1A1-44E18A0D6EAC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wkly'!$A$8:$B$8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bg1">
                      <a:lumMod val="75000"/>
                    </a:schemeClr>
                  </a:solidFill>
                  <a:ln w="6350">
                    <a:solidFill>
                      <a:schemeClr val="bg1">
                        <a:lumMod val="75000"/>
                      </a:schemeClr>
                    </a:solidFill>
                  </a:ln>
                  <a:effectLst/>
                </c:spPr>
                <c:invertIfNegative val="0"/>
                <c:dLbls>
                  <c:dLbl>
                    <c:idx val="0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0</a:t>
                          </a:r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8-7553-4835-A1A1-44E18A0D6EAC}"/>
                      </c:ext>
                    </c:extLst>
                  </c:dLbl>
                  <c:dLbl>
                    <c:idx val="1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0</a:t>
                          </a:r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9-7553-4835-A1A1-44E18A0D6EAC}"/>
                      </c:ext>
                    </c:extLst>
                  </c:dLbl>
                  <c:dLbl>
                    <c:idx val="2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0</a:t>
                          </a:r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A-7553-4835-A1A1-44E18A0D6EAC}"/>
                      </c:ext>
                    </c:extLst>
                  </c:dLbl>
                  <c:dLbl>
                    <c:idx val="3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0</a:t>
                          </a:r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B-7553-4835-A1A1-44E18A0D6EAC}"/>
                      </c:ext>
                    </c:extLst>
                  </c:dLbl>
                  <c:dLbl>
                    <c:idx val="4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0</a:t>
                          </a:r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C-7553-4835-A1A1-44E18A0D6EAC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1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Vale Sans" panose="020B050302020403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wkly'!$C$8:$G$8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0.1</c:v>
                      </c:pt>
                      <c:pt idx="1">
                        <c:v>0.1</c:v>
                      </c:pt>
                      <c:pt idx="2">
                        <c:v>0.1</c:v>
                      </c:pt>
                      <c:pt idx="3">
                        <c:v>0.1</c:v>
                      </c:pt>
                      <c:pt idx="4">
                        <c:v>0.1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7553-4835-A1A1-44E18A0D6EAC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wkly'!$A$9:$B$9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wkly'!$C$9:$G$9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0.01</c:v>
                      </c:pt>
                      <c:pt idx="1">
                        <c:v>0.01</c:v>
                      </c:pt>
                      <c:pt idx="2">
                        <c:v>0.01</c:v>
                      </c:pt>
                      <c:pt idx="3">
                        <c:v>0.01</c:v>
                      </c:pt>
                      <c:pt idx="4">
                        <c:v>0.01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7553-4835-A1A1-44E18A0D6EAC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wkly'!$A$11:$B$11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 w="57150">
                    <a:solidFill>
                      <a:srgbClr val="2D8F78"/>
                    </a:solidFill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wkly'!$C$11:$G$11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14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7553-4835-A1A1-44E18A0D6EAC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wkly'!$A$13:$B$13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wkly'!$C$13:$G$13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0.01</c:v>
                      </c:pt>
                      <c:pt idx="1">
                        <c:v>0.01</c:v>
                      </c:pt>
                      <c:pt idx="2">
                        <c:v>0.01</c:v>
                      </c:pt>
                      <c:pt idx="3">
                        <c:v>0.01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7553-4835-A1A1-44E18A0D6EAC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'2025 Plan Shortbranches wkly'!$A$13:$B$13</c:f>
              <c:strCache>
                <c:ptCount val="2"/>
                <c:pt idx="0">
                  <c:v>ACTUAL</c:v>
                </c:pt>
              </c:strCache>
            </c:strRef>
          </c:tx>
          <c:spPr>
            <a:ln w="57150" cap="rnd">
              <a:solidFill>
                <a:srgbClr val="2D8F78"/>
              </a:solidFill>
              <a:round/>
            </a:ln>
            <a:effectLst/>
          </c:spPr>
          <c:marker>
            <c:symbol val="square"/>
            <c:size val="26"/>
            <c:spPr>
              <a:solidFill>
                <a:srgbClr val="2D8F78"/>
              </a:solidFill>
              <a:ln w="57150">
                <a:solidFill>
                  <a:srgbClr val="2D8F78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7553-4835-A1A1-44E18A0D6EA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7553-4835-A1A1-44E18A0D6EA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7553-4835-A1A1-44E18A0D6EA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7553-4835-A1A1-44E18A0D6E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Vale Sans" panose="020B0503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Shortbranches wkly'!$C$5:$G$5</c:f>
              <c:strCache>
                <c:ptCount val="5"/>
                <c:pt idx="0">
                  <c:v>wk1 (Jan)</c:v>
                </c:pt>
                <c:pt idx="1">
                  <c:v>wk30 (Jul)</c:v>
                </c:pt>
                <c:pt idx="2">
                  <c:v>wk42</c:v>
                </c:pt>
                <c:pt idx="3">
                  <c:v>wk43</c:v>
                </c:pt>
                <c:pt idx="4">
                  <c:v>wk44</c:v>
                </c:pt>
              </c:strCache>
              <c:extLst xmlns:c15="http://schemas.microsoft.com/office/drawing/2012/chart"/>
            </c:strRef>
          </c:cat>
          <c:val>
            <c:numRef>
              <c:f>'2025 Plan Shortbranches wkly'!$C$13:$G$13</c:f>
              <c:numCache>
                <c:formatCode>0</c:formatCode>
                <c:ptCount val="5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7553-4835-A1A1-44E18A0D6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'2025 Plan Shortbranches wkly'!$A$12:$B$12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57150" cap="rnd">
                    <a:solidFill>
                      <a:srgbClr val="2D8F78"/>
                    </a:solidFill>
                    <a:round/>
                  </a:ln>
                  <a:effectLst/>
                </c:spPr>
                <c:marker>
                  <c:symbol val="square"/>
                  <c:size val="26"/>
                  <c:spPr>
                    <a:solidFill>
                      <a:srgbClr val="2D8F78"/>
                    </a:solidFill>
                    <a:ln w="57150">
                      <a:solidFill>
                        <a:srgbClr val="2D8F78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horzOverflow="clip" vert="horz" wrap="square" lIns="38100" tIns="0" rIns="0" bIns="19050" anchor="ctr" anchorCtr="1">
                      <a:spAutoFit/>
                    </a:bodyPr>
                    <a:lstStyle/>
                    <a:p>
                      <a:pPr>
                        <a:defRPr sz="2000" b="1" i="0" u="none" strike="noStrike" kern="1200" baseline="0">
                          <a:solidFill>
                            <a:schemeClr val="bg1"/>
                          </a:solidFill>
                          <a:latin typeface="Vale Sans" panose="020B050302020403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pPr xmlns:c15="http://schemas.microsoft.com/office/drawing/2012/chart"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c15:spPr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'2025 Plan Shortbranches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Shortbranches wkly'!$C$12:$G$12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5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0-7553-4835-A1A1-44E18A0D6EAC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Vale Sans" panose="020B0503020204030204" pitchFamily="34" charset="0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  <c:max val="0.5"/>
          <c:min val="0"/>
        </c:scaling>
        <c:delete val="1"/>
        <c:axPos val="l"/>
        <c:numFmt formatCode="0" sourceLinked="1"/>
        <c:majorTickMark val="out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479570581389588"/>
          <c:y val="0.86228923089159315"/>
          <c:w val="0.27280482587244975"/>
          <c:h val="6.74635884481676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Vale Sans" panose="020B0503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DD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baseline="0"/>
              <a:t>KILN - CTS</a:t>
            </a:r>
          </a:p>
          <a:p>
            <a:pPr>
              <a:defRPr sz="1800"/>
            </a:pPr>
            <a:r>
              <a:rPr lang="en-US" sz="1800" b="0" baseline="0"/>
              <a:t>Forces (Weekly)</a:t>
            </a:r>
            <a:endParaRPr lang="en-US" sz="1800" b="0"/>
          </a:p>
        </c:rich>
      </c:tx>
      <c:layout>
        <c:manualLayout>
          <c:xMode val="edge"/>
          <c:yMode val="edge"/>
          <c:x val="0.41088081759234529"/>
          <c:y val="1.59864713050660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64605316074454555"/>
        </c:manualLayout>
      </c:layout>
      <c:lineChart>
        <c:grouping val="standard"/>
        <c:varyColors val="0"/>
        <c:ser>
          <c:idx val="0"/>
          <c:order val="0"/>
          <c:tx>
            <c:strRef>
              <c:f>'2025 Plan forces wkly'!$A$6:$B$6</c:f>
              <c:strCache>
                <c:ptCount val="2"/>
                <c:pt idx="0">
                  <c:v>PLAN</c:v>
                </c:pt>
              </c:strCache>
            </c:strRef>
          </c:tx>
          <c:spPr>
            <a:ln w="571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28"/>
            <c:spPr>
              <a:solidFill>
                <a:schemeClr val="bg1">
                  <a:lumMod val="50000"/>
                </a:schemeClr>
              </a:solidFill>
              <a:ln w="57150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forces wkly'!$C$5:$G$5</c:f>
              <c:strCache>
                <c:ptCount val="5"/>
                <c:pt idx="0">
                  <c:v>wk1 (Jan)</c:v>
                </c:pt>
                <c:pt idx="1">
                  <c:v>wk30 (Jul)</c:v>
                </c:pt>
                <c:pt idx="2">
                  <c:v>wk42</c:v>
                </c:pt>
                <c:pt idx="3">
                  <c:v>wk43</c:v>
                </c:pt>
                <c:pt idx="4">
                  <c:v>wk44</c:v>
                </c:pt>
              </c:strCache>
            </c:strRef>
          </c:cat>
          <c:val>
            <c:numRef>
              <c:f>'2025 Plan forces wkly'!$C$6:$G$6</c:f>
              <c:numCache>
                <c:formatCode>0</c:formatCode>
                <c:ptCount val="5"/>
                <c:pt idx="0">
                  <c:v>1</c:v>
                </c:pt>
                <c:pt idx="1">
                  <c:v>0.16</c:v>
                </c:pt>
                <c:pt idx="2">
                  <c:v>0.16</c:v>
                </c:pt>
                <c:pt idx="3">
                  <c:v>0.16</c:v>
                </c:pt>
                <c:pt idx="4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32-4C00-A0AD-C9F23DE48CE3}"/>
            </c:ext>
          </c:extLst>
        </c:ser>
        <c:ser>
          <c:idx val="4"/>
          <c:order val="4"/>
          <c:tx>
            <c:strRef>
              <c:f>'2025 Plan forces wkly'!$A$10:$B$10</c:f>
              <c:strCache>
                <c:ptCount val="2"/>
                <c:pt idx="0">
                  <c:v>ACTUAL</c:v>
                </c:pt>
              </c:strCache>
            </c:strRef>
          </c:tx>
          <c:spPr>
            <a:ln w="57150" cap="rnd">
              <a:solidFill>
                <a:srgbClr val="2D8F78"/>
              </a:solidFill>
              <a:round/>
            </a:ln>
            <a:effectLst/>
          </c:spPr>
          <c:marker>
            <c:symbol val="circle"/>
            <c:size val="28"/>
            <c:spPr>
              <a:solidFill>
                <a:srgbClr val="2D8F78"/>
              </a:solidFill>
              <a:ln w="57150">
                <a:solidFill>
                  <a:srgbClr val="2D8F7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forces wkly'!$C$5:$G$5</c:f>
              <c:strCache>
                <c:ptCount val="5"/>
                <c:pt idx="0">
                  <c:v>wk1 (Jan)</c:v>
                </c:pt>
                <c:pt idx="1">
                  <c:v>wk30 (Jul)</c:v>
                </c:pt>
                <c:pt idx="2">
                  <c:v>wk42</c:v>
                </c:pt>
                <c:pt idx="3">
                  <c:v>wk43</c:v>
                </c:pt>
                <c:pt idx="4">
                  <c:v>wk44</c:v>
                </c:pt>
              </c:strCache>
            </c:strRef>
          </c:cat>
          <c:val>
            <c:numRef>
              <c:f>'2025 Plan forces wkly'!$C$10:$G$10</c:f>
              <c:numCache>
                <c:formatCode>0</c:formatCode>
                <c:ptCount val="5"/>
                <c:pt idx="0">
                  <c:v>0.8</c:v>
                </c:pt>
                <c:pt idx="1">
                  <c:v>0.4</c:v>
                </c:pt>
                <c:pt idx="2">
                  <c:v>0.8</c:v>
                </c:pt>
                <c:pt idx="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32-4C00-A0AD-C9F23DE48CE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'2025 Plan forces wkly'!$A$7:$B$7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ormulaRef>
                          <c15:sqref>'2025 Plan forces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forces wkly'!$C$7:$G$7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8</c:v>
                      </c:pt>
                      <c:pt idx="1">
                        <c:v>0.2</c:v>
                      </c:pt>
                      <c:pt idx="2">
                        <c:v>0.2</c:v>
                      </c:pt>
                      <c:pt idx="3">
                        <c:v>0.2</c:v>
                      </c:pt>
                      <c:pt idx="4">
                        <c:v>0.2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9432-4C00-A0AD-C9F23DE48CE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wkly'!$A$8:$B$8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wkly'!$C$8:$G$8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0.05</c:v>
                      </c:pt>
                      <c:pt idx="1">
                        <c:v>0.05</c:v>
                      </c:pt>
                      <c:pt idx="2">
                        <c:v>0.05</c:v>
                      </c:pt>
                      <c:pt idx="3">
                        <c:v>0.05</c:v>
                      </c:pt>
                      <c:pt idx="4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432-4C00-A0AD-C9F23DE48CE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wkly'!$A$9:$B$9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wkly'!$C$9:$G$9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2</c:v>
                      </c:pt>
                      <c:pt idx="1">
                        <c:v>0.12</c:v>
                      </c:pt>
                      <c:pt idx="2">
                        <c:v>0.12</c:v>
                      </c:pt>
                      <c:pt idx="3">
                        <c:v>0.12</c:v>
                      </c:pt>
                      <c:pt idx="4">
                        <c:v>0.12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432-4C00-A0AD-C9F23DE48CE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wkly'!$A$11:$B$11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wkly'!$C$11:$G$11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8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432-4C00-A0AD-C9F23DE48CE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wkly'!$A$12:$B$12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wkly'!$C$12:$G$12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0.05</c:v>
                      </c:pt>
                      <c:pt idx="1">
                        <c:v>0.05</c:v>
                      </c:pt>
                      <c:pt idx="2">
                        <c:v>0.05</c:v>
                      </c:pt>
                      <c:pt idx="3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432-4C00-A0AD-C9F23DE48CE3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wkly'!$A$13:$B$13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wkly'!$C$13:$G$13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2</c:v>
                      </c:pt>
                      <c:pt idx="1">
                        <c:v>0.01</c:v>
                      </c:pt>
                      <c:pt idx="2">
                        <c:v>0.01</c:v>
                      </c:pt>
                      <c:pt idx="3">
                        <c:v>0.01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432-4C00-A0AD-C9F23DE48CE3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8842237697984972"/>
          <c:y val="0.83387456622226508"/>
          <c:w val="0.25001453615477859"/>
          <c:h val="0.165785355927598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baseline="0"/>
              <a:t>DRYER - COALMILL</a:t>
            </a:r>
          </a:p>
          <a:p>
            <a:pPr>
              <a:defRPr sz="1800"/>
            </a:pPr>
            <a:r>
              <a:rPr lang="en-US" sz="1800" b="0" baseline="0"/>
              <a:t>Forces (Weekly)</a:t>
            </a:r>
            <a:endParaRPr lang="en-US" sz="1800" b="0"/>
          </a:p>
        </c:rich>
      </c:tx>
      <c:layout>
        <c:manualLayout>
          <c:xMode val="edge"/>
          <c:yMode val="edge"/>
          <c:x val="0.37905952351474931"/>
          <c:y val="1.30433918092254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65162386445765441"/>
        </c:manualLayout>
      </c:layout>
      <c:lineChart>
        <c:grouping val="standard"/>
        <c:varyColors val="0"/>
        <c:ser>
          <c:idx val="1"/>
          <c:order val="1"/>
          <c:tx>
            <c:strRef>
              <c:f>'2025 Plan forces wkly'!$A$7:$B$7</c:f>
              <c:strCache>
                <c:ptCount val="2"/>
                <c:pt idx="0">
                  <c:v>PLAN</c:v>
                </c:pt>
              </c:strCache>
            </c:strRef>
          </c:tx>
          <c:spPr>
            <a:ln w="571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28"/>
            <c:spPr>
              <a:solidFill>
                <a:schemeClr val="bg1">
                  <a:lumMod val="50000"/>
                </a:schemeClr>
              </a:solidFill>
              <a:ln w="57150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forces wkly'!$C$5:$G$5</c:f>
              <c:strCache>
                <c:ptCount val="5"/>
                <c:pt idx="0">
                  <c:v>wk1 (Jan)</c:v>
                </c:pt>
                <c:pt idx="1">
                  <c:v>wk30 (Jul)</c:v>
                </c:pt>
                <c:pt idx="2">
                  <c:v>wk42</c:v>
                </c:pt>
                <c:pt idx="3">
                  <c:v>wk43</c:v>
                </c:pt>
                <c:pt idx="4">
                  <c:v>wk44</c:v>
                </c:pt>
              </c:strCache>
            </c:strRef>
          </c:cat>
          <c:val>
            <c:numRef>
              <c:f>'2025 Plan forces wkly'!$C$7:$G$7</c:f>
              <c:numCache>
                <c:formatCode>0</c:formatCode>
                <c:ptCount val="5"/>
                <c:pt idx="0">
                  <c:v>8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D698-4D21-A981-B1639DF3CD92}"/>
            </c:ext>
          </c:extLst>
        </c:ser>
        <c:ser>
          <c:idx val="5"/>
          <c:order val="5"/>
          <c:tx>
            <c:strRef>
              <c:f>'2025 Plan forces wkly'!$A$11:$B$11</c:f>
              <c:strCache>
                <c:ptCount val="2"/>
                <c:pt idx="0">
                  <c:v>ACTUAL</c:v>
                </c:pt>
              </c:strCache>
            </c:strRef>
          </c:tx>
          <c:spPr>
            <a:ln w="57150" cap="rnd">
              <a:solidFill>
                <a:srgbClr val="2D8F78"/>
              </a:solidFill>
              <a:round/>
            </a:ln>
            <a:effectLst/>
          </c:spPr>
          <c:marker>
            <c:symbol val="circle"/>
            <c:size val="28"/>
            <c:spPr>
              <a:solidFill>
                <a:srgbClr val="2D8F78"/>
              </a:solidFill>
              <a:ln w="57150">
                <a:solidFill>
                  <a:srgbClr val="2D8F7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forces wkly'!$C$5:$G$5</c:f>
              <c:strCache>
                <c:ptCount val="5"/>
                <c:pt idx="0">
                  <c:v>wk1 (Jan)</c:v>
                </c:pt>
                <c:pt idx="1">
                  <c:v>wk30 (Jul)</c:v>
                </c:pt>
                <c:pt idx="2">
                  <c:v>wk42</c:v>
                </c:pt>
                <c:pt idx="3">
                  <c:v>wk43</c:v>
                </c:pt>
                <c:pt idx="4">
                  <c:v>wk44</c:v>
                </c:pt>
              </c:strCache>
            </c:strRef>
          </c:cat>
          <c:val>
            <c:numRef>
              <c:f>'2025 Plan forces wkly'!$C$11:$G$11</c:f>
              <c:numCache>
                <c:formatCode>0</c:formatCode>
                <c:ptCount val="5"/>
                <c:pt idx="0">
                  <c:v>8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98-4D21-A981-B1639DF3CD9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'2025 Plan forces wkly'!$A$6:$B$6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bg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bg1">
                        <a:lumMod val="50000"/>
                      </a:schemeClr>
                    </a:solidFill>
                    <a:ln w="9525">
                      <a:solidFill>
                        <a:schemeClr val="bg1">
                          <a:lumMod val="5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5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'2025 Plan forces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forces wkly'!$C$6:$G$6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1</c:v>
                      </c:pt>
                      <c:pt idx="1">
                        <c:v>0.16</c:v>
                      </c:pt>
                      <c:pt idx="2">
                        <c:v>0.16</c:v>
                      </c:pt>
                      <c:pt idx="3">
                        <c:v>0.16</c:v>
                      </c:pt>
                      <c:pt idx="4">
                        <c:v>0.16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D698-4D21-A981-B1639DF3CD9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wkly'!$A$8:$B$8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wkly'!$C$8:$G$8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0.05</c:v>
                      </c:pt>
                      <c:pt idx="1">
                        <c:v>0.05</c:v>
                      </c:pt>
                      <c:pt idx="2">
                        <c:v>0.05</c:v>
                      </c:pt>
                      <c:pt idx="3">
                        <c:v>0.05</c:v>
                      </c:pt>
                      <c:pt idx="4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698-4D21-A981-B1639DF3CD9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wkly'!$A$9:$B$9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wkly'!$C$9:$G$9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2</c:v>
                      </c:pt>
                      <c:pt idx="1">
                        <c:v>0.12</c:v>
                      </c:pt>
                      <c:pt idx="2">
                        <c:v>0.12</c:v>
                      </c:pt>
                      <c:pt idx="3">
                        <c:v>0.12</c:v>
                      </c:pt>
                      <c:pt idx="4">
                        <c:v>0.12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698-4D21-A981-B1639DF3CD9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wkly'!$A$10:$B$10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5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wkly'!$C$10:$G$10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0.8</c:v>
                      </c:pt>
                      <c:pt idx="1">
                        <c:v>0.4</c:v>
                      </c:pt>
                      <c:pt idx="2">
                        <c:v>0.8</c:v>
                      </c:pt>
                      <c:pt idx="3">
                        <c:v>0.8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698-4D21-A981-B1639DF3CD9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wkly'!$A$12:$B$12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wkly'!$C$12:$G$12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0.05</c:v>
                      </c:pt>
                      <c:pt idx="1">
                        <c:v>0.05</c:v>
                      </c:pt>
                      <c:pt idx="2">
                        <c:v>0.05</c:v>
                      </c:pt>
                      <c:pt idx="3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698-4D21-A981-B1639DF3CD92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wkly'!$A$13:$B$13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wkly'!$C$13:$G$13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2</c:v>
                      </c:pt>
                      <c:pt idx="1">
                        <c:v>0.01</c:v>
                      </c:pt>
                      <c:pt idx="2">
                        <c:v>0.01</c:v>
                      </c:pt>
                      <c:pt idx="3">
                        <c:v>0.01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698-4D21-A981-B1639DF3CD92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768957167500287"/>
          <c:y val="0.88265745437946741"/>
          <c:w val="0.2846208566499942"/>
          <c:h val="7.61699501001110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baseline="0"/>
              <a:t>FURNACE</a:t>
            </a:r>
          </a:p>
          <a:p>
            <a:pPr>
              <a:defRPr sz="1800"/>
            </a:pPr>
            <a:r>
              <a:rPr lang="en-US" sz="1800" b="0" baseline="0"/>
              <a:t>Forces (Weekly)</a:t>
            </a:r>
            <a:endParaRPr lang="en-US" sz="1800" b="0"/>
          </a:p>
        </c:rich>
      </c:tx>
      <c:layout>
        <c:manualLayout>
          <c:xMode val="edge"/>
          <c:yMode val="edge"/>
          <c:x val="0.39901693449875369"/>
          <c:y val="1.57882315105868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64887902475629289"/>
        </c:manualLayout>
      </c:layout>
      <c:lineChart>
        <c:grouping val="standard"/>
        <c:varyColors val="0"/>
        <c:ser>
          <c:idx val="2"/>
          <c:order val="2"/>
          <c:tx>
            <c:strRef>
              <c:f>'2025 Plan forces wkly'!$A$8:$B$8</c:f>
              <c:strCache>
                <c:ptCount val="2"/>
                <c:pt idx="0">
                  <c:v>PLAN</c:v>
                </c:pt>
              </c:strCache>
            </c:strRef>
          </c:tx>
          <c:spPr>
            <a:ln w="571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25"/>
            <c:spPr>
              <a:solidFill>
                <a:schemeClr val="bg1">
                  <a:lumMod val="50000"/>
                </a:schemeClr>
              </a:solidFill>
              <a:ln w="57150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forces wkly'!$C$5:$G$5</c:f>
              <c:strCache>
                <c:ptCount val="5"/>
                <c:pt idx="0">
                  <c:v>wk1 (Jan)</c:v>
                </c:pt>
                <c:pt idx="1">
                  <c:v>wk30 (Jul)</c:v>
                </c:pt>
                <c:pt idx="2">
                  <c:v>wk42</c:v>
                </c:pt>
                <c:pt idx="3">
                  <c:v>wk43</c:v>
                </c:pt>
                <c:pt idx="4">
                  <c:v>wk44</c:v>
                </c:pt>
              </c:strCache>
            </c:strRef>
          </c:cat>
          <c:val>
            <c:numRef>
              <c:f>'2025 Plan forces wkly'!$C$8:$G$8</c:f>
              <c:numCache>
                <c:formatCode>0</c:formatCode>
                <c:ptCount val="5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EC44-4D53-953D-B1D9A7743778}"/>
            </c:ext>
          </c:extLst>
        </c:ser>
        <c:ser>
          <c:idx val="6"/>
          <c:order val="6"/>
          <c:tx>
            <c:strRef>
              <c:f>'2025 Plan forces wkly'!$A$12:$B$12</c:f>
              <c:strCache>
                <c:ptCount val="2"/>
                <c:pt idx="0">
                  <c:v>ACTUAL</c:v>
                </c:pt>
              </c:strCache>
            </c:strRef>
          </c:tx>
          <c:spPr>
            <a:ln w="57150" cap="rnd">
              <a:solidFill>
                <a:srgbClr val="2D8F78"/>
              </a:solidFill>
              <a:round/>
            </a:ln>
            <a:effectLst/>
          </c:spPr>
          <c:marker>
            <c:symbol val="circle"/>
            <c:size val="25"/>
            <c:spPr>
              <a:solidFill>
                <a:srgbClr val="2D8F78"/>
              </a:solidFill>
              <a:ln w="57150">
                <a:solidFill>
                  <a:srgbClr val="2D8F7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forces wkly'!$C$5:$G$5</c:f>
              <c:strCache>
                <c:ptCount val="5"/>
                <c:pt idx="0">
                  <c:v>wk1 (Jan)</c:v>
                </c:pt>
                <c:pt idx="1">
                  <c:v>wk30 (Jul)</c:v>
                </c:pt>
                <c:pt idx="2">
                  <c:v>wk42</c:v>
                </c:pt>
                <c:pt idx="3">
                  <c:v>wk43</c:v>
                </c:pt>
                <c:pt idx="4">
                  <c:v>wk44</c:v>
                </c:pt>
              </c:strCache>
            </c:strRef>
          </c:cat>
          <c:val>
            <c:numRef>
              <c:f>'2025 Plan forces wkly'!$C$12:$G$12</c:f>
              <c:numCache>
                <c:formatCode>0</c:formatCode>
                <c:ptCount val="5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44-4D53-953D-B1D9A774377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'2025 Plan forces wkly'!$A$6:$B$6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bg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bg1">
                        <a:lumMod val="50000"/>
                      </a:schemeClr>
                    </a:solidFill>
                    <a:ln w="9525">
                      <a:solidFill>
                        <a:schemeClr val="bg1">
                          <a:lumMod val="5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5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'2025 Plan forces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forces wkly'!$C$6:$G$6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1</c:v>
                      </c:pt>
                      <c:pt idx="1">
                        <c:v>0.16</c:v>
                      </c:pt>
                      <c:pt idx="2">
                        <c:v>0.16</c:v>
                      </c:pt>
                      <c:pt idx="3">
                        <c:v>0.16</c:v>
                      </c:pt>
                      <c:pt idx="4">
                        <c:v>0.16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EC44-4D53-953D-B1D9A7743778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wkly'!$A$7:$B$7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wkly'!$C$7:$G$7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8</c:v>
                      </c:pt>
                      <c:pt idx="1">
                        <c:v>0.2</c:v>
                      </c:pt>
                      <c:pt idx="2">
                        <c:v>0.2</c:v>
                      </c:pt>
                      <c:pt idx="3">
                        <c:v>0.2</c:v>
                      </c:pt>
                      <c:pt idx="4">
                        <c:v>0.2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C44-4D53-953D-B1D9A774377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wkly'!$A$9:$B$9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wkly'!$C$9:$G$9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2</c:v>
                      </c:pt>
                      <c:pt idx="1">
                        <c:v>0.12</c:v>
                      </c:pt>
                      <c:pt idx="2">
                        <c:v>0.12</c:v>
                      </c:pt>
                      <c:pt idx="3">
                        <c:v>0.12</c:v>
                      </c:pt>
                      <c:pt idx="4">
                        <c:v>0.12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C44-4D53-953D-B1D9A774377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wkly'!$A$10:$B$10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5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wkly'!$C$10:$G$10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0.8</c:v>
                      </c:pt>
                      <c:pt idx="1">
                        <c:v>0.4</c:v>
                      </c:pt>
                      <c:pt idx="2">
                        <c:v>0.8</c:v>
                      </c:pt>
                      <c:pt idx="3">
                        <c:v>0.8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C44-4D53-953D-B1D9A774377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wkly'!$A$11:$B$11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wkly'!$C$11:$G$11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8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C44-4D53-953D-B1D9A7743778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wkly'!$A$13:$B$13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wkly'!$C$13:$G$13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2</c:v>
                      </c:pt>
                      <c:pt idx="1">
                        <c:v>0.01</c:v>
                      </c:pt>
                      <c:pt idx="2">
                        <c:v>0.01</c:v>
                      </c:pt>
                      <c:pt idx="3">
                        <c:v>0.01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C44-4D53-953D-B1D9A7743778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315786514303635"/>
          <c:y val="0.86777891029431609"/>
          <c:w val="0.24351118477525216"/>
          <c:h val="8.2813975081178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baseline="0"/>
              <a:t>CONVERTER</a:t>
            </a:r>
          </a:p>
          <a:p>
            <a:pPr>
              <a:defRPr sz="1800"/>
            </a:pPr>
            <a:r>
              <a:rPr lang="en-US" sz="1800" b="0" baseline="0"/>
              <a:t>Forces (Weekly)</a:t>
            </a:r>
            <a:endParaRPr lang="en-US" sz="1800" b="0"/>
          </a:p>
        </c:rich>
      </c:tx>
      <c:layout>
        <c:manualLayout>
          <c:xMode val="edge"/>
          <c:yMode val="edge"/>
          <c:x val="0.40084267547334884"/>
          <c:y val="1.42857019354794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64338934535357006"/>
        </c:manualLayout>
      </c:layout>
      <c:lineChart>
        <c:grouping val="standard"/>
        <c:varyColors val="0"/>
        <c:ser>
          <c:idx val="3"/>
          <c:order val="3"/>
          <c:tx>
            <c:strRef>
              <c:f>'2025 Plan forces wkly'!$A$9:$B$9</c:f>
              <c:strCache>
                <c:ptCount val="2"/>
                <c:pt idx="0">
                  <c:v>PLAN</c:v>
                </c:pt>
              </c:strCache>
            </c:strRef>
          </c:tx>
          <c:spPr>
            <a:ln w="571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25"/>
            <c:spPr>
              <a:solidFill>
                <a:schemeClr val="bg1">
                  <a:lumMod val="50000"/>
                </a:schemeClr>
              </a:solidFill>
              <a:ln w="57150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forces wkly'!$C$5:$G$5</c:f>
              <c:strCache>
                <c:ptCount val="5"/>
                <c:pt idx="0">
                  <c:v>wk1 (Jan)</c:v>
                </c:pt>
                <c:pt idx="1">
                  <c:v>wk30 (Jul)</c:v>
                </c:pt>
                <c:pt idx="2">
                  <c:v>wk42</c:v>
                </c:pt>
                <c:pt idx="3">
                  <c:v>wk43</c:v>
                </c:pt>
                <c:pt idx="4">
                  <c:v>wk44</c:v>
                </c:pt>
              </c:strCache>
            </c:strRef>
          </c:cat>
          <c:val>
            <c:numRef>
              <c:f>'2025 Plan forces wkly'!$C$9:$G$9</c:f>
              <c:numCache>
                <c:formatCode>0</c:formatCode>
                <c:ptCount val="5"/>
                <c:pt idx="0">
                  <c:v>2</c:v>
                </c:pt>
                <c:pt idx="1">
                  <c:v>0.12</c:v>
                </c:pt>
                <c:pt idx="2">
                  <c:v>0.12</c:v>
                </c:pt>
                <c:pt idx="3">
                  <c:v>0.12</c:v>
                </c:pt>
                <c:pt idx="4">
                  <c:v>0.12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F5FF-49DF-B69B-FDA9BF064E8E}"/>
            </c:ext>
          </c:extLst>
        </c:ser>
        <c:ser>
          <c:idx val="7"/>
          <c:order val="7"/>
          <c:tx>
            <c:strRef>
              <c:f>'2025 Plan forces wkly'!$A$13:$B$13</c:f>
              <c:strCache>
                <c:ptCount val="2"/>
                <c:pt idx="0">
                  <c:v>ACTUAL</c:v>
                </c:pt>
              </c:strCache>
            </c:strRef>
          </c:tx>
          <c:spPr>
            <a:ln w="57150" cap="rnd">
              <a:solidFill>
                <a:srgbClr val="2D8F78"/>
              </a:solidFill>
              <a:round/>
            </a:ln>
            <a:effectLst/>
          </c:spPr>
          <c:marker>
            <c:symbol val="circle"/>
            <c:size val="25"/>
            <c:spPr>
              <a:solidFill>
                <a:srgbClr val="2D8F78"/>
              </a:solidFill>
              <a:ln w="57150">
                <a:solidFill>
                  <a:srgbClr val="2D8F7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forces wkly'!$C$5:$G$5</c:f>
              <c:strCache>
                <c:ptCount val="5"/>
                <c:pt idx="0">
                  <c:v>wk1 (Jan)</c:v>
                </c:pt>
                <c:pt idx="1">
                  <c:v>wk30 (Jul)</c:v>
                </c:pt>
                <c:pt idx="2">
                  <c:v>wk42</c:v>
                </c:pt>
                <c:pt idx="3">
                  <c:v>wk43</c:v>
                </c:pt>
                <c:pt idx="4">
                  <c:v>wk44</c:v>
                </c:pt>
              </c:strCache>
            </c:strRef>
          </c:cat>
          <c:val>
            <c:numRef>
              <c:f>'2025 Plan forces wkly'!$C$13:$G$13</c:f>
              <c:numCache>
                <c:formatCode>0</c:formatCode>
                <c:ptCount val="5"/>
                <c:pt idx="0">
                  <c:v>2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FF-49DF-B69B-FDA9BF064E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'2025 Plan forces wkly'!$A$6:$B$6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bg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bg1">
                        <a:lumMod val="50000"/>
                      </a:schemeClr>
                    </a:solidFill>
                    <a:ln w="9525">
                      <a:solidFill>
                        <a:schemeClr val="bg1">
                          <a:lumMod val="5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5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'2025 Plan forces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forces wkly'!$C$6:$G$6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1</c:v>
                      </c:pt>
                      <c:pt idx="1">
                        <c:v>0.16</c:v>
                      </c:pt>
                      <c:pt idx="2">
                        <c:v>0.16</c:v>
                      </c:pt>
                      <c:pt idx="3">
                        <c:v>0.16</c:v>
                      </c:pt>
                      <c:pt idx="4">
                        <c:v>0.16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F5FF-49DF-B69B-FDA9BF064E8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wkly'!$A$7:$B$7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wkly'!$C$7:$G$7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8</c:v>
                      </c:pt>
                      <c:pt idx="1">
                        <c:v>0.2</c:v>
                      </c:pt>
                      <c:pt idx="2">
                        <c:v>0.2</c:v>
                      </c:pt>
                      <c:pt idx="3">
                        <c:v>0.2</c:v>
                      </c:pt>
                      <c:pt idx="4">
                        <c:v>0.2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5FF-49DF-B69B-FDA9BF064E8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wkly'!$A$8:$B$8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wkly'!$C$8:$G$8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0.05</c:v>
                      </c:pt>
                      <c:pt idx="1">
                        <c:v>0.05</c:v>
                      </c:pt>
                      <c:pt idx="2">
                        <c:v>0.05</c:v>
                      </c:pt>
                      <c:pt idx="3">
                        <c:v>0.05</c:v>
                      </c:pt>
                      <c:pt idx="4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5FF-49DF-B69B-FDA9BF064E8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wkly'!$A$10:$B$10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5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wkly'!$C$10:$G$10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0.8</c:v>
                      </c:pt>
                      <c:pt idx="1">
                        <c:v>0.4</c:v>
                      </c:pt>
                      <c:pt idx="2">
                        <c:v>0.8</c:v>
                      </c:pt>
                      <c:pt idx="3">
                        <c:v>0.8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5FF-49DF-B69B-FDA9BF064E8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wkly'!$A$11:$B$11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wkly'!$C$11:$G$11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8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5FF-49DF-B69B-FDA9BF064E8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wkly'!$A$12:$B$12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wkly'!$C$12:$G$12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0.05</c:v>
                      </c:pt>
                      <c:pt idx="1">
                        <c:v>0.05</c:v>
                      </c:pt>
                      <c:pt idx="2">
                        <c:v>0.05</c:v>
                      </c:pt>
                      <c:pt idx="3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5FF-49DF-B69B-FDA9BF064E8E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932741234586241"/>
          <c:y val="0.86069873676857578"/>
          <c:w val="0.2846208566499942"/>
          <c:h val="7.61699501001110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Vale Sans" panose="020B0503020204030204" pitchFamily="34" charset="0"/>
                <a:ea typeface="+mn-ea"/>
                <a:cs typeface="+mn-cs"/>
              </a:defRPr>
            </a:pPr>
            <a:r>
              <a:rPr lang="en-US" sz="1800" b="1" baseline="0">
                <a:latin typeface="Vale Sans" panose="020B0503020204030204" pitchFamily="34" charset="0"/>
              </a:rPr>
              <a:t>KILN-CTS</a:t>
            </a:r>
          </a:p>
          <a:p>
            <a:pPr>
              <a:defRPr sz="1800">
                <a:latin typeface="Vale Sans" panose="020B0503020204030204" pitchFamily="34" charset="0"/>
              </a:defRPr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Vale Sans" panose="020B0503020204030204" pitchFamily="34" charset="0"/>
              </a:rPr>
              <a:t>Forces 2025</a:t>
            </a:r>
          </a:p>
        </c:rich>
      </c:tx>
      <c:layout>
        <c:manualLayout>
          <c:xMode val="edge"/>
          <c:yMode val="edge"/>
          <c:x val="0.41564462379145667"/>
          <c:y val="2.31818678915135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Vale Sans" panose="020B0503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646134185054931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'2025 Plan forces wkly'!$A$6:$B$6</c:f>
              <c:strCache>
                <c:ptCount val="2"/>
                <c:pt idx="0">
                  <c:v>PLAN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1.6495560940642433E-3"/>
                  <c:y val="-5.341880341880341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678-4959-8FA0-C8E805C173C5}"/>
                </c:ext>
              </c:extLst>
            </c:dLbl>
            <c:dLbl>
              <c:idx val="2"/>
              <c:layout>
                <c:manualLayout>
                  <c:x val="-1.6495560940642433E-3"/>
                  <c:y val="-7.478632478632478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678-4959-8FA0-C8E805C173C5}"/>
                </c:ext>
              </c:extLst>
            </c:dLbl>
            <c:dLbl>
              <c:idx val="3"/>
              <c:layout>
                <c:manualLayout>
                  <c:x val="-1.6495560940641828E-3"/>
                  <c:y val="-8.012820512820513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678-4959-8FA0-C8E805C173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ale Sans" panose="020B0503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forces wkly'!$C$5:$G$5</c:f>
              <c:strCache>
                <c:ptCount val="5"/>
                <c:pt idx="0">
                  <c:v>wk1 (Jan)</c:v>
                </c:pt>
                <c:pt idx="1">
                  <c:v>wk30 (Jul)</c:v>
                </c:pt>
                <c:pt idx="2">
                  <c:v>wk42</c:v>
                </c:pt>
                <c:pt idx="3">
                  <c:v>wk43</c:v>
                </c:pt>
                <c:pt idx="4">
                  <c:v>wk44</c:v>
                </c:pt>
              </c:strCache>
            </c:strRef>
          </c:cat>
          <c:val>
            <c:numRef>
              <c:f>'2025 Plan forces wkly'!$C$6:$G$6</c:f>
              <c:numCache>
                <c:formatCode>0</c:formatCode>
                <c:ptCount val="5"/>
                <c:pt idx="0">
                  <c:v>1</c:v>
                </c:pt>
                <c:pt idx="1">
                  <c:v>0.16</c:v>
                </c:pt>
                <c:pt idx="2">
                  <c:v>0.16</c:v>
                </c:pt>
                <c:pt idx="3">
                  <c:v>0.16</c:v>
                </c:pt>
                <c:pt idx="4">
                  <c:v>0.16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6F7E-4212-881C-C9E5AA9BBD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50571840"/>
        <c:axId val="95056716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'2025 Plan forces wkly'!$A$7:$B$7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'2025 Plan forces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forces wkly'!$C$7:$G$7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8</c:v>
                      </c:pt>
                      <c:pt idx="1">
                        <c:v>0.2</c:v>
                      </c:pt>
                      <c:pt idx="2">
                        <c:v>0.2</c:v>
                      </c:pt>
                      <c:pt idx="3">
                        <c:v>0.2</c:v>
                      </c:pt>
                      <c:pt idx="4">
                        <c:v>0.2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6F7E-4212-881C-C9E5AA9BBD29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wkly'!$A$8:$B$8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bg1">
                      <a:lumMod val="75000"/>
                    </a:schemeClr>
                  </a:solidFill>
                  <a:ln w="6350">
                    <a:solidFill>
                      <a:schemeClr val="bg1">
                        <a:lumMod val="75000"/>
                      </a:schemeClr>
                    </a:solidFill>
                  </a:ln>
                  <a:effectLst/>
                </c:spPr>
                <c:invertIfNegative val="0"/>
                <c:dLbls>
                  <c:dLbl>
                    <c:idx val="0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0</a:t>
                          </a:r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0-6F7E-4212-881C-C9E5AA9BBD29}"/>
                      </c:ext>
                    </c:extLst>
                  </c:dLbl>
                  <c:dLbl>
                    <c:idx val="1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0</a:t>
                          </a:r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1-6F7E-4212-881C-C9E5AA9BBD29}"/>
                      </c:ext>
                    </c:extLst>
                  </c:dLbl>
                  <c:dLbl>
                    <c:idx val="2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0</a:t>
                          </a:r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2-6F7E-4212-881C-C9E5AA9BBD29}"/>
                      </c:ext>
                    </c:extLst>
                  </c:dLbl>
                  <c:dLbl>
                    <c:idx val="3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0</a:t>
                          </a:r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3-6F7E-4212-881C-C9E5AA9BBD29}"/>
                      </c:ext>
                    </c:extLst>
                  </c:dLbl>
                  <c:dLbl>
                    <c:idx val="4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0</a:t>
                          </a:r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4-6F7E-4212-881C-C9E5AA9BBD2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1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Vale Sans" panose="020B050302020403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wkly'!$C$8:$G$8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0.05</c:v>
                      </c:pt>
                      <c:pt idx="1">
                        <c:v>0.05</c:v>
                      </c:pt>
                      <c:pt idx="2">
                        <c:v>0.05</c:v>
                      </c:pt>
                      <c:pt idx="3">
                        <c:v>0.05</c:v>
                      </c:pt>
                      <c:pt idx="4">
                        <c:v>0.05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F7E-4212-881C-C9E5AA9BBD29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wkly'!$A$9:$B$9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wkly'!$C$9:$G$9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2</c:v>
                      </c:pt>
                      <c:pt idx="1">
                        <c:v>0.12</c:v>
                      </c:pt>
                      <c:pt idx="2">
                        <c:v>0.12</c:v>
                      </c:pt>
                      <c:pt idx="3">
                        <c:v>0.12</c:v>
                      </c:pt>
                      <c:pt idx="4">
                        <c:v>0.12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6F7E-4212-881C-C9E5AA9BBD29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wkly'!$A$11:$B$11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wkly'!$C$11:$G$11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8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6F7E-4212-881C-C9E5AA9BBD29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wkly'!$A$13:$B$13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wkly'!$C$13:$G$13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2</c:v>
                      </c:pt>
                      <c:pt idx="1">
                        <c:v>0.01</c:v>
                      </c:pt>
                      <c:pt idx="2">
                        <c:v>0.01</c:v>
                      </c:pt>
                      <c:pt idx="3">
                        <c:v>0.01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6F7E-4212-881C-C9E5AA9BBD29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'2025 Plan forces wkly'!$A$10:$B$10</c:f>
              <c:strCache>
                <c:ptCount val="2"/>
                <c:pt idx="0">
                  <c:v>ACTUAL</c:v>
                </c:pt>
              </c:strCache>
            </c:strRef>
          </c:tx>
          <c:spPr>
            <a:ln w="57150" cap="rnd">
              <a:solidFill>
                <a:srgbClr val="2D8F78"/>
              </a:solidFill>
              <a:round/>
            </a:ln>
            <a:effectLst/>
          </c:spPr>
          <c:marker>
            <c:symbol val="square"/>
            <c:size val="26"/>
            <c:spPr>
              <a:solidFill>
                <a:srgbClr val="2D8F78"/>
              </a:solidFill>
              <a:ln w="57150">
                <a:solidFill>
                  <a:srgbClr val="2D8F7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Vale Sans" panose="020B0503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forces wkly'!$C$5:$G$5</c:f>
              <c:strCache>
                <c:ptCount val="5"/>
                <c:pt idx="0">
                  <c:v>wk1 (Jan)</c:v>
                </c:pt>
                <c:pt idx="1">
                  <c:v>wk30 (Jul)</c:v>
                </c:pt>
                <c:pt idx="2">
                  <c:v>wk42</c:v>
                </c:pt>
                <c:pt idx="3">
                  <c:v>wk43</c:v>
                </c:pt>
                <c:pt idx="4">
                  <c:v>wk44</c:v>
                </c:pt>
              </c:strCache>
            </c:strRef>
          </c:cat>
          <c:val>
            <c:numRef>
              <c:f>'2025 Plan forces wkly'!$C$10:$G$10</c:f>
              <c:numCache>
                <c:formatCode>0</c:formatCode>
                <c:ptCount val="5"/>
                <c:pt idx="0">
                  <c:v>0.8</c:v>
                </c:pt>
                <c:pt idx="1">
                  <c:v>0.4</c:v>
                </c:pt>
                <c:pt idx="2">
                  <c:v>0.8</c:v>
                </c:pt>
                <c:pt idx="3">
                  <c:v>0.8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6F7E-4212-881C-C9E5AA9BB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'2025 Plan forces wkly'!$A$12:$B$12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57150" cap="rnd">
                    <a:solidFill>
                      <a:srgbClr val="2D8F78"/>
                    </a:solidFill>
                    <a:round/>
                  </a:ln>
                  <a:effectLst/>
                </c:spPr>
                <c:marker>
                  <c:symbol val="square"/>
                  <c:size val="26"/>
                  <c:spPr>
                    <a:solidFill>
                      <a:srgbClr val="2D8F78"/>
                    </a:solidFill>
                    <a:ln w="57150">
                      <a:solidFill>
                        <a:srgbClr val="2D8F78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horzOverflow="clip" vert="horz" wrap="square" lIns="38100" tIns="0" rIns="0" bIns="19050" anchor="ctr" anchorCtr="1">
                      <a:spAutoFit/>
                    </a:bodyPr>
                    <a:lstStyle/>
                    <a:p>
                      <a:pPr>
                        <a:defRPr sz="2000" b="1" i="0" u="none" strike="noStrike" kern="1200" baseline="0">
                          <a:solidFill>
                            <a:schemeClr val="bg1"/>
                          </a:solidFill>
                          <a:latin typeface="Vale Sans" panose="020B050302020403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pPr xmlns:c15="http://schemas.microsoft.com/office/drawing/2012/chart"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c15:spPr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'2025 Plan forces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forces wkly'!$C$12:$G$12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0.05</c:v>
                      </c:pt>
                      <c:pt idx="1">
                        <c:v>0.05</c:v>
                      </c:pt>
                      <c:pt idx="2">
                        <c:v>0.05</c:v>
                      </c:pt>
                      <c:pt idx="3">
                        <c:v>0.05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6F7E-4212-881C-C9E5AA9BBD29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ale Sans" panose="020B0503020204030204" pitchFamily="34" charset="0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  <c:max val="9"/>
        </c:scaling>
        <c:delete val="1"/>
        <c:axPos val="l"/>
        <c:numFmt formatCode="0" sourceLinked="1"/>
        <c:majorTickMark val="out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479570581389588"/>
          <c:y val="0.86228923089159315"/>
          <c:w val="0.27280482587244975"/>
          <c:h val="6.74635884481676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ale Sans" panose="020B0503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Vale Sans" panose="020B0503020204030204" pitchFamily="34" charset="0"/>
                <a:ea typeface="+mn-ea"/>
                <a:cs typeface="+mn-cs"/>
              </a:defRPr>
            </a:pPr>
            <a:r>
              <a:rPr lang="en-US" sz="1800" b="1" baseline="0">
                <a:latin typeface="Vale Sans" panose="020B0503020204030204" pitchFamily="34" charset="0"/>
              </a:rPr>
              <a:t>DRYER-CM</a:t>
            </a:r>
          </a:p>
          <a:p>
            <a:pPr>
              <a:defRPr sz="1800">
                <a:latin typeface="Vale Sans" panose="020B0503020204030204" pitchFamily="34" charset="0"/>
              </a:defRPr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Vale Sans" panose="020B0503020204030204" pitchFamily="34" charset="0"/>
              </a:rPr>
              <a:t>Forces 2025</a:t>
            </a:r>
          </a:p>
        </c:rich>
      </c:tx>
      <c:layout>
        <c:manualLayout>
          <c:xMode val="edge"/>
          <c:yMode val="edge"/>
          <c:x val="0.42719094124517093"/>
          <c:y val="2.05109277205733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Vale Sans" panose="020B0503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646134185054931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'2025 Plan forces wkly'!$A$7:$B$7</c:f>
              <c:strCache>
                <c:ptCount val="2"/>
                <c:pt idx="0">
                  <c:v>PLAN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-8.01282051282051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9E5-40EF-941E-B848E93089C6}"/>
                </c:ext>
              </c:extLst>
            </c:dLbl>
            <c:dLbl>
              <c:idx val="2"/>
              <c:layout>
                <c:manualLayout>
                  <c:x val="3.2990234890473025E-3"/>
                  <c:y val="-7.74572649572650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9E5-40EF-941E-B848E93089C6}"/>
                </c:ext>
              </c:extLst>
            </c:dLbl>
            <c:dLbl>
              <c:idx val="3"/>
              <c:layout>
                <c:manualLayout>
                  <c:x val="0"/>
                  <c:y val="-7.7457264957264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9E5-40EF-941E-B848E93089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ale Sans" panose="020B0503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forces wkly'!$C$5:$G$5</c:f>
              <c:strCache>
                <c:ptCount val="5"/>
                <c:pt idx="0">
                  <c:v>wk1 (Jan)</c:v>
                </c:pt>
                <c:pt idx="1">
                  <c:v>wk30 (Jul)</c:v>
                </c:pt>
                <c:pt idx="2">
                  <c:v>wk42</c:v>
                </c:pt>
                <c:pt idx="3">
                  <c:v>wk43</c:v>
                </c:pt>
                <c:pt idx="4">
                  <c:v>wk44</c:v>
                </c:pt>
              </c:strCache>
            </c:strRef>
          </c:cat>
          <c:val>
            <c:numRef>
              <c:f>'2025 Plan forces wkly'!$C$7:$G$7</c:f>
              <c:numCache>
                <c:formatCode>0</c:formatCode>
                <c:ptCount val="5"/>
                <c:pt idx="0">
                  <c:v>8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BEA4-47CB-8424-80AC7D9BEF8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50571840"/>
        <c:axId val="95056716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'2025 Plan forces wkly'!$A$7:$B$7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'2025 Plan forces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forces wkly'!$C$7:$G$7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8</c:v>
                      </c:pt>
                      <c:pt idx="1">
                        <c:v>0.2</c:v>
                      </c:pt>
                      <c:pt idx="2">
                        <c:v>0.2</c:v>
                      </c:pt>
                      <c:pt idx="3">
                        <c:v>0.2</c:v>
                      </c:pt>
                      <c:pt idx="4">
                        <c:v>0.2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BEA4-47CB-8424-80AC7D9BEF8B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wkly'!$A$8:$B$8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bg1">
                      <a:lumMod val="75000"/>
                    </a:schemeClr>
                  </a:solidFill>
                  <a:ln w="6350">
                    <a:solidFill>
                      <a:schemeClr val="bg1">
                        <a:lumMod val="75000"/>
                      </a:schemeClr>
                    </a:solidFill>
                  </a:ln>
                  <a:effectLst/>
                </c:spPr>
                <c:invertIfNegative val="0"/>
                <c:dLbls>
                  <c:dLbl>
                    <c:idx val="0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0</a:t>
                          </a:r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3-BEA4-47CB-8424-80AC7D9BEF8B}"/>
                      </c:ext>
                    </c:extLst>
                  </c:dLbl>
                  <c:dLbl>
                    <c:idx val="1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0</a:t>
                          </a:r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4-BEA4-47CB-8424-80AC7D9BEF8B}"/>
                      </c:ext>
                    </c:extLst>
                  </c:dLbl>
                  <c:dLbl>
                    <c:idx val="2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0</a:t>
                          </a:r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5-BEA4-47CB-8424-80AC7D9BEF8B}"/>
                      </c:ext>
                    </c:extLst>
                  </c:dLbl>
                  <c:dLbl>
                    <c:idx val="3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0</a:t>
                          </a:r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6-BEA4-47CB-8424-80AC7D9BEF8B}"/>
                      </c:ext>
                    </c:extLst>
                  </c:dLbl>
                  <c:dLbl>
                    <c:idx val="4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0</a:t>
                          </a:r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7-BEA4-47CB-8424-80AC7D9BEF8B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1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Vale Sans" panose="020B050302020403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wkly'!$C$8:$G$8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0.05</c:v>
                      </c:pt>
                      <c:pt idx="1">
                        <c:v>0.05</c:v>
                      </c:pt>
                      <c:pt idx="2">
                        <c:v>0.05</c:v>
                      </c:pt>
                      <c:pt idx="3">
                        <c:v>0.05</c:v>
                      </c:pt>
                      <c:pt idx="4">
                        <c:v>0.05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EA4-47CB-8424-80AC7D9BEF8B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wkly'!$A$9:$B$9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wkly'!$C$9:$G$9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2</c:v>
                      </c:pt>
                      <c:pt idx="1">
                        <c:v>0.12</c:v>
                      </c:pt>
                      <c:pt idx="2">
                        <c:v>0.12</c:v>
                      </c:pt>
                      <c:pt idx="3">
                        <c:v>0.12</c:v>
                      </c:pt>
                      <c:pt idx="4">
                        <c:v>0.12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BEA4-47CB-8424-80AC7D9BEF8B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wkly'!$A$11:$B$11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wkly'!$C$11:$G$11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8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BEA4-47CB-8424-80AC7D9BEF8B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wkly'!$A$13:$B$13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wkly'!$C$13:$G$13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2</c:v>
                      </c:pt>
                      <c:pt idx="1">
                        <c:v>0.01</c:v>
                      </c:pt>
                      <c:pt idx="2">
                        <c:v>0.01</c:v>
                      </c:pt>
                      <c:pt idx="3">
                        <c:v>0.01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BEA4-47CB-8424-80AC7D9BEF8B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'2025 Plan forces wkly'!$A$11:$B$11</c:f>
              <c:strCache>
                <c:ptCount val="2"/>
                <c:pt idx="0">
                  <c:v>ACTUAL</c:v>
                </c:pt>
              </c:strCache>
            </c:strRef>
          </c:tx>
          <c:spPr>
            <a:ln w="57150" cap="rnd">
              <a:solidFill>
                <a:srgbClr val="2D8F78"/>
              </a:solidFill>
              <a:round/>
            </a:ln>
            <a:effectLst/>
          </c:spPr>
          <c:marker>
            <c:symbol val="square"/>
            <c:size val="26"/>
            <c:spPr>
              <a:solidFill>
                <a:srgbClr val="2D8F78"/>
              </a:solidFill>
              <a:ln w="57150">
                <a:solidFill>
                  <a:srgbClr val="2D8F7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Vale Sans" panose="020B0503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forces wkly'!$C$5:$G$5</c:f>
              <c:strCache>
                <c:ptCount val="5"/>
                <c:pt idx="0">
                  <c:v>wk1 (Jan)</c:v>
                </c:pt>
                <c:pt idx="1">
                  <c:v>wk30 (Jul)</c:v>
                </c:pt>
                <c:pt idx="2">
                  <c:v>wk42</c:v>
                </c:pt>
                <c:pt idx="3">
                  <c:v>wk43</c:v>
                </c:pt>
                <c:pt idx="4">
                  <c:v>wk44</c:v>
                </c:pt>
              </c:strCache>
            </c:strRef>
          </c:cat>
          <c:val>
            <c:numRef>
              <c:f>'2025 Plan forces wkly'!$C$11:$G$11</c:f>
              <c:numCache>
                <c:formatCode>0</c:formatCode>
                <c:ptCount val="5"/>
                <c:pt idx="0">
                  <c:v>8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BEA4-47CB-8424-80AC7D9BE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'2025 Plan forces wkly'!$A$12:$B$12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57150" cap="rnd">
                    <a:solidFill>
                      <a:srgbClr val="2D8F78"/>
                    </a:solidFill>
                    <a:round/>
                  </a:ln>
                  <a:effectLst/>
                </c:spPr>
                <c:marker>
                  <c:symbol val="square"/>
                  <c:size val="26"/>
                  <c:spPr>
                    <a:solidFill>
                      <a:srgbClr val="2D8F78"/>
                    </a:solidFill>
                    <a:ln w="57150">
                      <a:solidFill>
                        <a:srgbClr val="2D8F78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horzOverflow="clip" vert="horz" wrap="square" lIns="38100" tIns="0" rIns="0" bIns="19050" anchor="ctr" anchorCtr="1">
                      <a:spAutoFit/>
                    </a:bodyPr>
                    <a:lstStyle/>
                    <a:p>
                      <a:pPr>
                        <a:defRPr sz="2000" b="1" i="0" u="none" strike="noStrike" kern="1200" baseline="0">
                          <a:solidFill>
                            <a:schemeClr val="bg1"/>
                          </a:solidFill>
                          <a:latin typeface="Vale Sans" panose="020B050302020403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pPr xmlns:c15="http://schemas.microsoft.com/office/drawing/2012/chart"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c15:spPr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'2025 Plan forces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forces wkly'!$C$12:$G$12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0.05</c:v>
                      </c:pt>
                      <c:pt idx="1">
                        <c:v>0.05</c:v>
                      </c:pt>
                      <c:pt idx="2">
                        <c:v>0.05</c:v>
                      </c:pt>
                      <c:pt idx="3">
                        <c:v>0.05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B-BEA4-47CB-8424-80AC7D9BEF8B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ale Sans" panose="020B0503020204030204" pitchFamily="34" charset="0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  <c:max val="12"/>
        </c:scaling>
        <c:delete val="1"/>
        <c:axPos val="l"/>
        <c:numFmt formatCode="0" sourceLinked="1"/>
        <c:majorTickMark val="out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479570581389588"/>
          <c:y val="0.86228923089159315"/>
          <c:w val="0.27280482587244975"/>
          <c:h val="6.74635884481676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ale Sans" panose="020B0503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Vale Sans" panose="020B0503020204030204" pitchFamily="34" charset="0"/>
                <a:ea typeface="+mn-ea"/>
                <a:cs typeface="+mn-cs"/>
              </a:defRPr>
            </a:pPr>
            <a:r>
              <a:rPr lang="en-US" sz="1800" b="1" baseline="0">
                <a:latin typeface="Vale Sans" panose="020B0503020204030204" pitchFamily="34" charset="0"/>
              </a:rPr>
              <a:t>FURNACE</a:t>
            </a:r>
          </a:p>
          <a:p>
            <a:pPr>
              <a:defRPr sz="1800">
                <a:latin typeface="Vale Sans" panose="020B0503020204030204" pitchFamily="34" charset="0"/>
              </a:defRPr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Vale Sans" panose="020B0503020204030204" pitchFamily="34" charset="0"/>
              </a:rPr>
              <a:t>Forces 2025</a:t>
            </a:r>
          </a:p>
        </c:rich>
      </c:tx>
      <c:layout>
        <c:manualLayout>
          <c:xMode val="edge"/>
          <c:yMode val="edge"/>
          <c:x val="0.41729417988552081"/>
          <c:y val="1.78399875496332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Vale Sans" panose="020B0503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646134185054931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'2025 Plan forces wkly'!$A$8:$B$8</c:f>
              <c:strCache>
                <c:ptCount val="2"/>
                <c:pt idx="0">
                  <c:v>PLAN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6495560940641828E-3"/>
                  <c:y val="-2.13675213675213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BA1-4DBB-A95D-F5AA4D5696CD}"/>
                </c:ext>
              </c:extLst>
            </c:dLbl>
            <c:dLbl>
              <c:idx val="1"/>
              <c:layout>
                <c:manualLayout>
                  <c:x val="1.6555308641686673E-3"/>
                  <c:y val="-2.5092957130358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713-44AE-A18B-115DEF9505FB}"/>
                </c:ext>
              </c:extLst>
            </c:dLbl>
            <c:dLbl>
              <c:idx val="2"/>
              <c:layout>
                <c:manualLayout>
                  <c:x val="0"/>
                  <c:y val="-2.5092957130358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713-44AE-A18B-115DEF9505FB}"/>
                </c:ext>
              </c:extLst>
            </c:dLbl>
            <c:dLbl>
              <c:idx val="3"/>
              <c:layout>
                <c:manualLayout>
                  <c:x val="-1.6466985953186807E-3"/>
                  <c:y val="-2.99715239921933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F91-4048-A374-2AA1DC10F4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ale Sans" panose="020B0503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'2025 Plan forces wkly'!$C$5:$G$5</c:f>
              <c:strCache>
                <c:ptCount val="5"/>
                <c:pt idx="0">
                  <c:v>wk1 (Jan)</c:v>
                </c:pt>
                <c:pt idx="1">
                  <c:v>wk30 (Jul)</c:v>
                </c:pt>
                <c:pt idx="2">
                  <c:v>wk42</c:v>
                </c:pt>
                <c:pt idx="3">
                  <c:v>wk43</c:v>
                </c:pt>
                <c:pt idx="4">
                  <c:v>wk44</c:v>
                </c:pt>
              </c:strCache>
            </c:strRef>
          </c:cat>
          <c:val>
            <c:numRef>
              <c:f>'2025 Plan forces wkly'!$C$8:$G$8</c:f>
              <c:numCache>
                <c:formatCode>0</c:formatCode>
                <c:ptCount val="5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D1BA-4492-BD9A-2182291A3A9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50571840"/>
        <c:axId val="95056716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'2025 Plan forces wkly'!$A$7:$B$7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bg1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'2025 Plan forces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forces wkly'!$C$7:$G$7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8</c:v>
                      </c:pt>
                      <c:pt idx="1">
                        <c:v>0.2</c:v>
                      </c:pt>
                      <c:pt idx="2">
                        <c:v>0.2</c:v>
                      </c:pt>
                      <c:pt idx="3">
                        <c:v>0.2</c:v>
                      </c:pt>
                      <c:pt idx="4">
                        <c:v>0.2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D1BA-4492-BD9A-2182291A3A9F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wkly'!$A$8:$B$8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bg1">
                      <a:lumMod val="75000"/>
                    </a:schemeClr>
                  </a:solidFill>
                  <a:ln w="6350">
                    <a:solidFill>
                      <a:schemeClr val="bg1">
                        <a:lumMod val="75000"/>
                      </a:schemeClr>
                    </a:solidFill>
                  </a:ln>
                  <a:effectLst/>
                </c:spPr>
                <c:invertIfNegative val="0"/>
                <c:dLbls>
                  <c:dLbl>
                    <c:idx val="0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0</a:t>
                          </a:r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3-D1BA-4492-BD9A-2182291A3A9F}"/>
                      </c:ext>
                    </c:extLst>
                  </c:dLbl>
                  <c:dLbl>
                    <c:idx val="1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0</a:t>
                          </a:r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4-D1BA-4492-BD9A-2182291A3A9F}"/>
                      </c:ext>
                    </c:extLst>
                  </c:dLbl>
                  <c:dLbl>
                    <c:idx val="2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0</a:t>
                          </a:r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5-D1BA-4492-BD9A-2182291A3A9F}"/>
                      </c:ext>
                    </c:extLst>
                  </c:dLbl>
                  <c:dLbl>
                    <c:idx val="3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0</a:t>
                          </a:r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6-D1BA-4492-BD9A-2182291A3A9F}"/>
                      </c:ext>
                    </c:extLst>
                  </c:dLbl>
                  <c:dLbl>
                    <c:idx val="4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0</a:t>
                          </a:r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7-D1BA-4492-BD9A-2182291A3A9F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1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Vale Sans" panose="020B050302020403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wkly'!$C$8:$G$8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0.05</c:v>
                      </c:pt>
                      <c:pt idx="1">
                        <c:v>0.05</c:v>
                      </c:pt>
                      <c:pt idx="2">
                        <c:v>0.05</c:v>
                      </c:pt>
                      <c:pt idx="3">
                        <c:v>0.05</c:v>
                      </c:pt>
                      <c:pt idx="4">
                        <c:v>0.05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1BA-4492-BD9A-2182291A3A9F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wkly'!$A$9:$B$9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wkly'!$C$9:$G$9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2</c:v>
                      </c:pt>
                      <c:pt idx="1">
                        <c:v>0.12</c:v>
                      </c:pt>
                      <c:pt idx="2">
                        <c:v>0.12</c:v>
                      </c:pt>
                      <c:pt idx="3">
                        <c:v>0.12</c:v>
                      </c:pt>
                      <c:pt idx="4">
                        <c:v>0.12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1BA-4492-BD9A-2182291A3A9F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wkly'!$A$11:$B$11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 w="57150">
                    <a:solidFill>
                      <a:srgbClr val="2D8F78"/>
                    </a:solidFill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wkly'!$C$11:$G$11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8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1BA-4492-BD9A-2182291A3A9F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wkly'!$A$13:$B$13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wkly'!$C$13:$G$13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2</c:v>
                      </c:pt>
                      <c:pt idx="1">
                        <c:v>0.01</c:v>
                      </c:pt>
                      <c:pt idx="2">
                        <c:v>0.01</c:v>
                      </c:pt>
                      <c:pt idx="3">
                        <c:v>0.01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1BA-4492-BD9A-2182291A3A9F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'2025 Plan forces wkly'!$A$12:$B$12</c:f>
              <c:strCache>
                <c:ptCount val="2"/>
                <c:pt idx="0">
                  <c:v>ACTUAL</c:v>
                </c:pt>
              </c:strCache>
            </c:strRef>
          </c:tx>
          <c:spPr>
            <a:ln w="57150" cap="rnd">
              <a:solidFill>
                <a:srgbClr val="2D8F78"/>
              </a:solidFill>
              <a:round/>
            </a:ln>
            <a:effectLst/>
          </c:spPr>
          <c:marker>
            <c:symbol val="square"/>
            <c:size val="26"/>
            <c:spPr>
              <a:solidFill>
                <a:srgbClr val="2D8F78"/>
              </a:solidFill>
              <a:ln w="57150">
                <a:solidFill>
                  <a:srgbClr val="2D8F7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Vale Sans" panose="020B0503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'2025 Plan forces wkly'!$C$5:$G$5</c:f>
              <c:strCache>
                <c:ptCount val="5"/>
                <c:pt idx="0">
                  <c:v>wk1 (Jan)</c:v>
                </c:pt>
                <c:pt idx="1">
                  <c:v>wk30 (Jul)</c:v>
                </c:pt>
                <c:pt idx="2">
                  <c:v>wk42</c:v>
                </c:pt>
                <c:pt idx="3">
                  <c:v>wk43</c:v>
                </c:pt>
                <c:pt idx="4">
                  <c:v>wk44</c:v>
                </c:pt>
              </c:strCache>
            </c:strRef>
          </c:cat>
          <c:val>
            <c:numRef>
              <c:f>'2025 Plan forces wkly'!$C$12:$G$12</c:f>
              <c:numCache>
                <c:formatCode>0</c:formatCode>
                <c:ptCount val="5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D1BA-4492-BD9A-2182291A3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'2025 Plan forces wkly'!$A$12:$B$12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57150" cap="rnd">
                    <a:solidFill>
                      <a:srgbClr val="2D8F78"/>
                    </a:solidFill>
                    <a:round/>
                  </a:ln>
                  <a:effectLst/>
                </c:spPr>
                <c:marker>
                  <c:symbol val="square"/>
                  <c:size val="26"/>
                  <c:spPr>
                    <a:solidFill>
                      <a:srgbClr val="2D8F78"/>
                    </a:solidFill>
                    <a:ln w="57150">
                      <a:solidFill>
                        <a:srgbClr val="2D8F78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horzOverflow="clip" vert="horz" wrap="square" lIns="38100" tIns="0" rIns="0" bIns="19050" anchor="ctr" anchorCtr="1">
                      <a:spAutoFit/>
                    </a:bodyPr>
                    <a:lstStyle/>
                    <a:p>
                      <a:pPr>
                        <a:defRPr sz="2000" b="1" i="0" u="none" strike="noStrike" kern="1200" baseline="0">
                          <a:solidFill>
                            <a:schemeClr val="bg1"/>
                          </a:solidFill>
                          <a:latin typeface="Vale Sans" panose="020B050302020403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pPr xmlns:c15="http://schemas.microsoft.com/office/drawing/2012/chart"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c15:spPr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'2025 Plan forces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forces wkly'!$C$12:$G$12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0.05</c:v>
                      </c:pt>
                      <c:pt idx="1">
                        <c:v>0.05</c:v>
                      </c:pt>
                      <c:pt idx="2">
                        <c:v>0.05</c:v>
                      </c:pt>
                      <c:pt idx="3">
                        <c:v>0.05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B-D1BA-4492-BD9A-2182291A3A9F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ale Sans" panose="020B0503020204030204" pitchFamily="34" charset="0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  <c:max val="3"/>
        </c:scaling>
        <c:delete val="1"/>
        <c:axPos val="l"/>
        <c:numFmt formatCode="0" sourceLinked="1"/>
        <c:majorTickMark val="out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479570581389588"/>
          <c:y val="0.86228923089159315"/>
          <c:w val="0.27280482587244975"/>
          <c:h val="6.74635884481676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ale Sans" panose="020B0503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Vale Sans" panose="020B0503020204030204" pitchFamily="34" charset="0"/>
                <a:ea typeface="+mn-ea"/>
                <a:cs typeface="+mn-cs"/>
              </a:defRPr>
            </a:pPr>
            <a:r>
              <a:rPr lang="en-US" sz="1800" b="1" baseline="0">
                <a:latin typeface="Vale Sans" panose="020B0503020204030204" pitchFamily="34" charset="0"/>
              </a:rPr>
              <a:t>CONVERTER</a:t>
            </a:r>
          </a:p>
          <a:p>
            <a:pPr>
              <a:defRPr sz="1800">
                <a:latin typeface="Vale Sans" panose="020B0503020204030204" pitchFamily="34" charset="0"/>
              </a:defRPr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Vale Sans" panose="020B0503020204030204" pitchFamily="34" charset="0"/>
              </a:rPr>
              <a:t>Forces 2025</a:t>
            </a:r>
          </a:p>
        </c:rich>
      </c:tx>
      <c:layout>
        <c:manualLayout>
          <c:xMode val="edge"/>
          <c:yMode val="edge"/>
          <c:x val="0.41729417988552081"/>
          <c:y val="2.05109277205733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Vale Sans" panose="020B0503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646134185054931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'2025 Plan forces wkly'!$A$9:$B$9</c:f>
              <c:strCache>
                <c:ptCount val="2"/>
                <c:pt idx="0">
                  <c:v>PLAN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6555889946872691E-3"/>
                  <c:y val="-2.59892490457649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511-41FF-9FA2-D7D143834616}"/>
                </c:ext>
              </c:extLst>
            </c:dLbl>
            <c:dLbl>
              <c:idx val="1"/>
              <c:layout>
                <c:manualLayout>
                  <c:x val="0"/>
                  <c:y val="-3.11870988549178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511-41FF-9FA2-D7D143834616}"/>
                </c:ext>
              </c:extLst>
            </c:dLbl>
            <c:dLbl>
              <c:idx val="2"/>
              <c:layout>
                <c:manualLayout>
                  <c:x val="-6.0704236458256574E-17"/>
                  <c:y val="-3.47770751177739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511-41FF-9FA2-D7D143834616}"/>
                </c:ext>
              </c:extLst>
            </c:dLbl>
            <c:dLbl>
              <c:idx val="3"/>
              <c:layout>
                <c:manualLayout>
                  <c:x val="-1.655589210512079E-3"/>
                  <c:y val="-3.21782816268169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511-41FF-9FA2-D7D1438346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ale Sans" panose="020B0503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forces wkly'!$C$5:$G$5</c:f>
              <c:strCache>
                <c:ptCount val="5"/>
                <c:pt idx="0">
                  <c:v>wk1 (Jan)</c:v>
                </c:pt>
                <c:pt idx="1">
                  <c:v>wk30 (Jul)</c:v>
                </c:pt>
                <c:pt idx="2">
                  <c:v>wk42</c:v>
                </c:pt>
                <c:pt idx="3">
                  <c:v>wk43</c:v>
                </c:pt>
                <c:pt idx="4">
                  <c:v>wk44</c:v>
                </c:pt>
              </c:strCache>
            </c:strRef>
          </c:cat>
          <c:val>
            <c:numRef>
              <c:f>'2025 Plan forces wkly'!$C$9:$G$9</c:f>
              <c:numCache>
                <c:formatCode>0</c:formatCode>
                <c:ptCount val="5"/>
                <c:pt idx="0">
                  <c:v>2</c:v>
                </c:pt>
                <c:pt idx="1">
                  <c:v>0.12</c:v>
                </c:pt>
                <c:pt idx="2">
                  <c:v>0.12</c:v>
                </c:pt>
                <c:pt idx="3">
                  <c:v>0.12</c:v>
                </c:pt>
                <c:pt idx="4">
                  <c:v>0.12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1511-41FF-9FA2-D7D14383461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50571840"/>
        <c:axId val="95056716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'2025 Plan forces wkly'!$A$7:$B$7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bg1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'2025 Plan forces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forces wkly'!$C$7:$G$7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8</c:v>
                      </c:pt>
                      <c:pt idx="1">
                        <c:v>0.2</c:v>
                      </c:pt>
                      <c:pt idx="2">
                        <c:v>0.2</c:v>
                      </c:pt>
                      <c:pt idx="3">
                        <c:v>0.2</c:v>
                      </c:pt>
                      <c:pt idx="4">
                        <c:v>0.2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1511-41FF-9FA2-D7D143834616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wkly'!$A$8:$B$8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bg1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Lbl>
                    <c:idx val="0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0</a:t>
                          </a:r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3-1511-41FF-9FA2-D7D143834616}"/>
                      </c:ext>
                    </c:extLst>
                  </c:dLbl>
                  <c:dLbl>
                    <c:idx val="1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0</a:t>
                          </a:r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4-1511-41FF-9FA2-D7D143834616}"/>
                      </c:ext>
                    </c:extLst>
                  </c:dLbl>
                  <c:dLbl>
                    <c:idx val="2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0</a:t>
                          </a:r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5-1511-41FF-9FA2-D7D143834616}"/>
                      </c:ext>
                    </c:extLst>
                  </c:dLbl>
                  <c:dLbl>
                    <c:idx val="3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0</a:t>
                          </a:r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6-1511-41FF-9FA2-D7D143834616}"/>
                      </c:ext>
                    </c:extLst>
                  </c:dLbl>
                  <c:dLbl>
                    <c:idx val="4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0</a:t>
                          </a:r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7-1511-41FF-9FA2-D7D143834616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1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Vale Sans" panose="020B050302020403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wkly'!$C$8:$G$8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0.05</c:v>
                      </c:pt>
                      <c:pt idx="1">
                        <c:v>0.05</c:v>
                      </c:pt>
                      <c:pt idx="2">
                        <c:v>0.05</c:v>
                      </c:pt>
                      <c:pt idx="3">
                        <c:v>0.05</c:v>
                      </c:pt>
                      <c:pt idx="4">
                        <c:v>0.05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1511-41FF-9FA2-D7D14383461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wkly'!$A$9:$B$9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wkly'!$C$9:$G$9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2</c:v>
                      </c:pt>
                      <c:pt idx="1">
                        <c:v>0.12</c:v>
                      </c:pt>
                      <c:pt idx="2">
                        <c:v>0.12</c:v>
                      </c:pt>
                      <c:pt idx="3">
                        <c:v>0.12</c:v>
                      </c:pt>
                      <c:pt idx="4">
                        <c:v>0.12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1511-41FF-9FA2-D7D143834616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wkly'!$A$11:$B$11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 w="57150">
                    <a:solidFill>
                      <a:srgbClr val="2D8F78"/>
                    </a:solidFill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wkly'!$C$11:$G$11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8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1511-41FF-9FA2-D7D143834616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wkly'!$A$13:$B$13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 wkly'!$C$13:$G$13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2</c:v>
                      </c:pt>
                      <c:pt idx="1">
                        <c:v>0.01</c:v>
                      </c:pt>
                      <c:pt idx="2">
                        <c:v>0.01</c:v>
                      </c:pt>
                      <c:pt idx="3">
                        <c:v>0.01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1511-41FF-9FA2-D7D14383461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'2025 Plan forces wkly'!$A$13:$B$13</c:f>
              <c:strCache>
                <c:ptCount val="2"/>
                <c:pt idx="0">
                  <c:v>ACTUAL</c:v>
                </c:pt>
              </c:strCache>
            </c:strRef>
          </c:tx>
          <c:spPr>
            <a:ln w="57150" cap="rnd">
              <a:solidFill>
                <a:srgbClr val="2D8F78"/>
              </a:solidFill>
              <a:round/>
            </a:ln>
            <a:effectLst/>
          </c:spPr>
          <c:marker>
            <c:symbol val="square"/>
            <c:size val="26"/>
            <c:spPr>
              <a:solidFill>
                <a:srgbClr val="2D8F78"/>
              </a:solidFill>
              <a:ln w="57150">
                <a:solidFill>
                  <a:srgbClr val="2D8F7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Vale Sans" panose="020B0503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forces wkly'!$C$5:$G$5</c:f>
              <c:strCache>
                <c:ptCount val="5"/>
                <c:pt idx="0">
                  <c:v>wk1 (Jan)</c:v>
                </c:pt>
                <c:pt idx="1">
                  <c:v>wk30 (Jul)</c:v>
                </c:pt>
                <c:pt idx="2">
                  <c:v>wk42</c:v>
                </c:pt>
                <c:pt idx="3">
                  <c:v>wk43</c:v>
                </c:pt>
                <c:pt idx="4">
                  <c:v>wk44</c:v>
                </c:pt>
              </c:strCache>
            </c:strRef>
          </c:cat>
          <c:val>
            <c:numRef>
              <c:f>'2025 Plan forces wkly'!$C$13:$G$13</c:f>
              <c:numCache>
                <c:formatCode>0</c:formatCode>
                <c:ptCount val="5"/>
                <c:pt idx="0">
                  <c:v>2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1511-41FF-9FA2-D7D143834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'2025 Plan forces wkly'!$A$12:$B$12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57150" cap="rnd">
                    <a:solidFill>
                      <a:srgbClr val="2D8F78"/>
                    </a:solidFill>
                    <a:round/>
                  </a:ln>
                  <a:effectLst/>
                </c:spPr>
                <c:marker>
                  <c:symbol val="square"/>
                  <c:size val="26"/>
                  <c:spPr>
                    <a:solidFill>
                      <a:srgbClr val="2D8F78"/>
                    </a:solidFill>
                    <a:ln w="57150">
                      <a:solidFill>
                        <a:srgbClr val="2D8F78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horzOverflow="clip" vert="horz" wrap="square" lIns="38100" tIns="0" rIns="0" bIns="19050" anchor="ctr" anchorCtr="1">
                      <a:spAutoFit/>
                    </a:bodyPr>
                    <a:lstStyle/>
                    <a:p>
                      <a:pPr>
                        <a:defRPr sz="2000" b="1" i="0" u="none" strike="noStrike" kern="1200" baseline="0">
                          <a:solidFill>
                            <a:schemeClr val="bg1"/>
                          </a:solidFill>
                          <a:latin typeface="Vale Sans" panose="020B050302020403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pPr xmlns:c15="http://schemas.microsoft.com/office/drawing/2012/chart"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c15:spPr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'2025 Plan forces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forces wkly'!$C$12:$G$12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0.05</c:v>
                      </c:pt>
                      <c:pt idx="1">
                        <c:v>0.05</c:v>
                      </c:pt>
                      <c:pt idx="2">
                        <c:v>0.05</c:v>
                      </c:pt>
                      <c:pt idx="3">
                        <c:v>0.05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B-1511-41FF-9FA2-D7D143834616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ale Sans" panose="020B0503020204030204" pitchFamily="34" charset="0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  <c:max val="6"/>
        </c:scaling>
        <c:delete val="1"/>
        <c:axPos val="l"/>
        <c:numFmt formatCode="0" sourceLinked="1"/>
        <c:majorTickMark val="out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479570581389588"/>
          <c:y val="0.86228923089159315"/>
          <c:w val="0.27280482587244975"/>
          <c:h val="6.74635884481676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ale Sans" panose="020B0503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KILN - CTT - CRANE - DOS - SULPHUR MELTER - SLCU</a:t>
            </a:r>
            <a:endParaRPr lang="en-US" b="1"/>
          </a:p>
        </c:rich>
      </c:tx>
      <c:layout>
        <c:manualLayout>
          <c:xMode val="edge"/>
          <c:yMode val="edge"/>
          <c:x val="0.34203908698766705"/>
          <c:y val="1.57880734986619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73122411781860597"/>
        </c:manualLayout>
      </c:layout>
      <c:lineChart>
        <c:grouping val="standard"/>
        <c:varyColors val="0"/>
        <c:ser>
          <c:idx val="0"/>
          <c:order val="0"/>
          <c:tx>
            <c:strRef>
              <c:f>'2023-2024 Shortbranches'!$A$6:$B$6</c:f>
              <c:strCache>
                <c:ptCount val="2"/>
                <c:pt idx="0">
                  <c:v>PLAN</c:v>
                </c:pt>
                <c:pt idx="1">
                  <c:v>KILN - CTT - CRANE - DOS - SULPHUR MELTER - SLCU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1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'2023-2024 Shortbranches'!$C$5:$N$5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'2023-2024 Shortbranches'!$C$6:$N$6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8</c:v>
                </c:pt>
                <c:pt idx="8">
                  <c:v>4</c:v>
                </c:pt>
                <c:pt idx="9">
                  <c:v>4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9A-4DD1-8812-E2239F1BC95D}"/>
            </c:ext>
          </c:extLst>
        </c:ser>
        <c:ser>
          <c:idx val="4"/>
          <c:order val="4"/>
          <c:tx>
            <c:strRef>
              <c:f>'2023-2024 Shortbranches'!$A$10:$B$10</c:f>
              <c:strCache>
                <c:ptCount val="2"/>
                <c:pt idx="0">
                  <c:v>ACTUAL</c:v>
                </c:pt>
                <c:pt idx="1">
                  <c:v>KILN - CTT - CRANE - DOS - SULPHUR MELTER - SLCU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1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'2023-2024 Shortbranches'!$C$5:$N$5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'2023-2024 Shortbranches'!$C$10:$N$10</c:f>
              <c:numCache>
                <c:formatCode>0</c:formatCode>
                <c:ptCount val="12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13</c:v>
                </c:pt>
                <c:pt idx="5">
                  <c:v>11</c:v>
                </c:pt>
                <c:pt idx="6">
                  <c:v>11</c:v>
                </c:pt>
                <c:pt idx="7">
                  <c:v>13</c:v>
                </c:pt>
                <c:pt idx="8">
                  <c:v>11</c:v>
                </c:pt>
                <c:pt idx="9">
                  <c:v>13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9A-4DD1-8812-E2239F1BC95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'2023-2024 Shortbranches'!$A$7:$B$7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  <c:pt idx="1">
                        <c:v>DRYER/COALMILL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ormulaRef>
                          <c15:sqref>'2023-2024 Shortbranches'!$C$5:$N$5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'2023-2024 Shortbranches'!$C$7:$N$7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22</c:v>
                      </c:pt>
                      <c:pt idx="1">
                        <c:v>27</c:v>
                      </c:pt>
                      <c:pt idx="2">
                        <c:v>27</c:v>
                      </c:pt>
                      <c:pt idx="3">
                        <c:v>23</c:v>
                      </c:pt>
                      <c:pt idx="4">
                        <c:v>23</c:v>
                      </c:pt>
                      <c:pt idx="5">
                        <c:v>23</c:v>
                      </c:pt>
                      <c:pt idx="6">
                        <c:v>23</c:v>
                      </c:pt>
                      <c:pt idx="7">
                        <c:v>14</c:v>
                      </c:pt>
                      <c:pt idx="8">
                        <c:v>14</c:v>
                      </c:pt>
                      <c:pt idx="9">
                        <c:v>14</c:v>
                      </c:pt>
                      <c:pt idx="10">
                        <c:v>14</c:v>
                      </c:pt>
                      <c:pt idx="11">
                        <c:v>14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B9A-4DD1-8812-E2239F1BC95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Shortbranches'!$A$8:$B$8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  <c:pt idx="1">
                        <c:v>FURNACE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Shortbranches'!$C$8:$N$8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7</c:v>
                      </c:pt>
                      <c:pt idx="6">
                        <c:v>7</c:v>
                      </c:pt>
                      <c:pt idx="7">
                        <c:v>9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5</c:v>
                      </c:pt>
                      <c:pt idx="11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B9A-4DD1-8812-E2239F1BC95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Shortbranches'!$A$9:$B$9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  <c:pt idx="1">
                        <c:v>CONVERTER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dLbl>
                    <c:idx val="4"/>
                    <c:layout>
                      <c:manualLayout>
                        <c:x val="-2.0246911294959619E-2"/>
                        <c:y val="-1.3231416683475725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4-4B9A-4DD1-8812-E2239F1BC95D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Shortbranches'!$C$9:$N$9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4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B9A-4DD1-8812-E2239F1BC95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Shortbranches'!$A$11:$B$11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  <c:pt idx="1">
                        <c:v>DRYER/COALMILL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Shortbranches'!$C$11:$N$11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84</c:v>
                      </c:pt>
                      <c:pt idx="1">
                        <c:v>84</c:v>
                      </c:pt>
                      <c:pt idx="2">
                        <c:v>84</c:v>
                      </c:pt>
                      <c:pt idx="3">
                        <c:v>84</c:v>
                      </c:pt>
                      <c:pt idx="4">
                        <c:v>71</c:v>
                      </c:pt>
                      <c:pt idx="5">
                        <c:v>38</c:v>
                      </c:pt>
                      <c:pt idx="6">
                        <c:v>39</c:v>
                      </c:pt>
                      <c:pt idx="7">
                        <c:v>39</c:v>
                      </c:pt>
                      <c:pt idx="8">
                        <c:v>23</c:v>
                      </c:pt>
                      <c:pt idx="9">
                        <c:v>17</c:v>
                      </c:pt>
                      <c:pt idx="10">
                        <c:v>16</c:v>
                      </c:pt>
                      <c:pt idx="11">
                        <c:v>22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B9A-4DD1-8812-E2239F1BC95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Shortbranches'!$A$12:$B$12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  <c:pt idx="1">
                        <c:v>FURNACE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Shortbranches'!$C$12:$N$12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B9A-4DD1-8812-E2239F1BC95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Shortbranches'!$A$13:$B$13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  <c:pt idx="1">
                        <c:v>CONVERTER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Shortbranches'!$C$13:$N$13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</c:v>
                      </c:pt>
                      <c:pt idx="6">
                        <c:v>0</c:v>
                      </c:pt>
                      <c:pt idx="7">
                        <c:v>1</c:v>
                      </c:pt>
                      <c:pt idx="8">
                        <c:v>3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B9A-4DD1-8812-E2239F1BC95D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DRYER - COALMILL</a:t>
            </a:r>
            <a:endParaRPr lang="en-US" b="1"/>
          </a:p>
        </c:rich>
      </c:tx>
      <c:layout>
        <c:manualLayout>
          <c:xMode val="edge"/>
          <c:yMode val="edge"/>
          <c:x val="0.43802176504986162"/>
          <c:y val="1.57881425844485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73122411781860597"/>
        </c:manualLayout>
      </c:layout>
      <c:lineChart>
        <c:grouping val="standard"/>
        <c:varyColors val="0"/>
        <c:ser>
          <c:idx val="1"/>
          <c:order val="1"/>
          <c:tx>
            <c:strRef>
              <c:f>'2023-2024 Shortbranches'!$A$7:$B$7</c:f>
              <c:strCache>
                <c:ptCount val="2"/>
                <c:pt idx="0">
                  <c:v>PLAN</c:v>
                </c:pt>
                <c:pt idx="1">
                  <c:v>DRYER/COALMILL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'2023-2024 Shortbranches'!$C$5:$N$5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'2023-2024 Shortbranches'!$C$7:$N$7</c:f>
              <c:numCache>
                <c:formatCode>0</c:formatCode>
                <c:ptCount val="12"/>
                <c:pt idx="0">
                  <c:v>22</c:v>
                </c:pt>
                <c:pt idx="1">
                  <c:v>27</c:v>
                </c:pt>
                <c:pt idx="2">
                  <c:v>27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5078-426E-AC78-20367483558D}"/>
            </c:ext>
          </c:extLst>
        </c:ser>
        <c:ser>
          <c:idx val="5"/>
          <c:order val="5"/>
          <c:tx>
            <c:strRef>
              <c:f>'2023-2024 Shortbranches'!$A$11:$B$11</c:f>
              <c:strCache>
                <c:ptCount val="2"/>
                <c:pt idx="0">
                  <c:v>ACTUAL</c:v>
                </c:pt>
                <c:pt idx="1">
                  <c:v>DRYER/COALMILL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1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'2023-2024 Shortbranches'!$C$5:$N$5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'2023-2024 Shortbranches'!$C$11:$N$11</c:f>
              <c:numCache>
                <c:formatCode>0</c:formatCode>
                <c:ptCount val="12"/>
                <c:pt idx="0">
                  <c:v>84</c:v>
                </c:pt>
                <c:pt idx="1">
                  <c:v>84</c:v>
                </c:pt>
                <c:pt idx="2">
                  <c:v>84</c:v>
                </c:pt>
                <c:pt idx="3">
                  <c:v>84</c:v>
                </c:pt>
                <c:pt idx="4">
                  <c:v>71</c:v>
                </c:pt>
                <c:pt idx="5">
                  <c:v>38</c:v>
                </c:pt>
                <c:pt idx="6">
                  <c:v>39</c:v>
                </c:pt>
                <c:pt idx="7">
                  <c:v>39</c:v>
                </c:pt>
                <c:pt idx="8">
                  <c:v>23</c:v>
                </c:pt>
                <c:pt idx="9">
                  <c:v>17</c:v>
                </c:pt>
                <c:pt idx="10">
                  <c:v>16</c:v>
                </c:pt>
                <c:pt idx="1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78-426E-AC78-20367483558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'2023-2024 Shortbranches'!$A$6:$B$6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  <c:pt idx="1">
                        <c:v>KILN - CTT - CRANE - DOS - SULPHUR MELTER - SLCU</c:v>
                      </c:pt>
                    </c:strCache>
                  </c:strRef>
                </c:tx>
                <c:spPr>
                  <a:ln w="28575" cap="rnd">
                    <a:solidFill>
                      <a:schemeClr val="bg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bg1">
                        <a:lumMod val="50000"/>
                      </a:schemeClr>
                    </a:solidFill>
                    <a:ln w="9525">
                      <a:solidFill>
                        <a:schemeClr val="bg1">
                          <a:lumMod val="5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5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'2023-2024 Shortbranches'!$C$5:$N$5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'2023-2024 Shortbranches'!$C$6:$N$6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</c:v>
                      </c:pt>
                      <c:pt idx="4">
                        <c:v>4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8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5078-426E-AC78-20367483558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Shortbranches'!$A$8:$B$8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  <c:pt idx="1">
                        <c:v>FURNACE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Shortbranches'!$C$8:$N$8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7</c:v>
                      </c:pt>
                      <c:pt idx="6">
                        <c:v>7</c:v>
                      </c:pt>
                      <c:pt idx="7">
                        <c:v>9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5</c:v>
                      </c:pt>
                      <c:pt idx="11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078-426E-AC78-20367483558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Shortbranches'!$A$9:$B$9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  <c:pt idx="1">
                        <c:v>CONVERTER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dLbl>
                    <c:idx val="4"/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4-5078-426E-AC78-20367483558D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Shortbranches'!$C$9:$N$9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4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078-426E-AC78-20367483558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Shortbranches'!$A$10:$B$10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  <c:pt idx="1">
                        <c:v>KILN - CTT - CRANE - DOS - SULPHUR MELTER - SLCU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5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Shortbranches'!$C$10:$N$10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20</c:v>
                      </c:pt>
                      <c:pt idx="1">
                        <c:v>20</c:v>
                      </c:pt>
                      <c:pt idx="2">
                        <c:v>20</c:v>
                      </c:pt>
                      <c:pt idx="3">
                        <c:v>20</c:v>
                      </c:pt>
                      <c:pt idx="4">
                        <c:v>13</c:v>
                      </c:pt>
                      <c:pt idx="5">
                        <c:v>11</c:v>
                      </c:pt>
                      <c:pt idx="6">
                        <c:v>11</c:v>
                      </c:pt>
                      <c:pt idx="7">
                        <c:v>13</c:v>
                      </c:pt>
                      <c:pt idx="8">
                        <c:v>11</c:v>
                      </c:pt>
                      <c:pt idx="9">
                        <c:v>13</c:v>
                      </c:pt>
                      <c:pt idx="10">
                        <c:v>3</c:v>
                      </c:pt>
                      <c:pt idx="11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078-426E-AC78-20367483558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Shortbranches'!$A$12:$B$12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  <c:pt idx="1">
                        <c:v>FURNACE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Shortbranches'!$C$12:$N$12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078-426E-AC78-20367483558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Shortbranches'!$A$13:$B$13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  <c:pt idx="1">
                        <c:v>CONVERTER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Shortbranches'!$C$13:$N$13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</c:v>
                      </c:pt>
                      <c:pt idx="6">
                        <c:v>0</c:v>
                      </c:pt>
                      <c:pt idx="7">
                        <c:v>1</c:v>
                      </c:pt>
                      <c:pt idx="8">
                        <c:v>3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078-426E-AC78-20367483558D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FURNACE</a:t>
            </a:r>
            <a:endParaRPr lang="en-US" b="1"/>
          </a:p>
        </c:rich>
      </c:tx>
      <c:layout>
        <c:manualLayout>
          <c:xMode val="edge"/>
          <c:yMode val="edge"/>
          <c:x val="0.46693219952224485"/>
          <c:y val="1.57881425844485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73122411781860597"/>
        </c:manualLayout>
      </c:layout>
      <c:lineChart>
        <c:grouping val="standard"/>
        <c:varyColors val="0"/>
        <c:ser>
          <c:idx val="2"/>
          <c:order val="2"/>
          <c:tx>
            <c:strRef>
              <c:f>'2023-2024 Shortbranches'!$A$8:$B$8</c:f>
              <c:strCache>
                <c:ptCount val="2"/>
                <c:pt idx="0">
                  <c:v>PLAN</c:v>
                </c:pt>
                <c:pt idx="1">
                  <c:v>FURNACE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'2023-2024 Shortbranches'!$C$5:$N$5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'2023-2024 Shortbranches'!$C$8:$N$8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7</c:v>
                </c:pt>
                <c:pt idx="6">
                  <c:v>7</c:v>
                </c:pt>
                <c:pt idx="7">
                  <c:v>9</c:v>
                </c:pt>
                <c:pt idx="8">
                  <c:v>8</c:v>
                </c:pt>
                <c:pt idx="9">
                  <c:v>9</c:v>
                </c:pt>
                <c:pt idx="10">
                  <c:v>5</c:v>
                </c:pt>
                <c:pt idx="11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1D74-494F-86D3-54C8BF7B4C0E}"/>
            </c:ext>
          </c:extLst>
        </c:ser>
        <c:ser>
          <c:idx val="6"/>
          <c:order val="6"/>
          <c:tx>
            <c:strRef>
              <c:f>'2023-2024 Shortbranches'!$A$12:$B$12</c:f>
              <c:strCache>
                <c:ptCount val="2"/>
                <c:pt idx="0">
                  <c:v>ACTUAL</c:v>
                </c:pt>
                <c:pt idx="1">
                  <c:v>FURNACE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'2023-2024 Shortbranches'!$C$5:$N$5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'2023-2024 Shortbranches'!$C$12:$N$12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74-494F-86D3-54C8BF7B4C0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'2023-2024 Shortbranches'!$A$6:$B$6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  <c:pt idx="1">
                        <c:v>KILN - CTT - CRANE - DOS - SULPHUR MELTER - SLCU</c:v>
                      </c:pt>
                    </c:strCache>
                  </c:strRef>
                </c:tx>
                <c:spPr>
                  <a:ln w="28575" cap="rnd">
                    <a:solidFill>
                      <a:schemeClr val="bg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bg1">
                        <a:lumMod val="50000"/>
                      </a:schemeClr>
                    </a:solidFill>
                    <a:ln w="9525">
                      <a:solidFill>
                        <a:schemeClr val="bg1">
                          <a:lumMod val="5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5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'2023-2024 Shortbranches'!$C$5:$N$5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'2023-2024 Shortbranches'!$C$6:$N$6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</c:v>
                      </c:pt>
                      <c:pt idx="4">
                        <c:v>4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8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D74-494F-86D3-54C8BF7B4C0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Shortbranches'!$A$7:$B$7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  <c:pt idx="1">
                        <c:v>DRYER/COALMILL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Shortbranches'!$C$7:$N$7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22</c:v>
                      </c:pt>
                      <c:pt idx="1">
                        <c:v>27</c:v>
                      </c:pt>
                      <c:pt idx="2">
                        <c:v>27</c:v>
                      </c:pt>
                      <c:pt idx="3">
                        <c:v>23</c:v>
                      </c:pt>
                      <c:pt idx="4">
                        <c:v>23</c:v>
                      </c:pt>
                      <c:pt idx="5">
                        <c:v>23</c:v>
                      </c:pt>
                      <c:pt idx="6">
                        <c:v>23</c:v>
                      </c:pt>
                      <c:pt idx="7">
                        <c:v>14</c:v>
                      </c:pt>
                      <c:pt idx="8">
                        <c:v>14</c:v>
                      </c:pt>
                      <c:pt idx="9">
                        <c:v>14</c:v>
                      </c:pt>
                      <c:pt idx="10">
                        <c:v>14</c:v>
                      </c:pt>
                      <c:pt idx="11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D74-494F-86D3-54C8BF7B4C0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Shortbranches'!$A$9:$B$9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  <c:pt idx="1">
                        <c:v>CONVERTER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dLbl>
                    <c:idx val="4"/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4-1D74-494F-86D3-54C8BF7B4C0E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Shortbranches'!$C$9:$N$9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4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D74-494F-86D3-54C8BF7B4C0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Shortbranches'!$A$10:$B$10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  <c:pt idx="1">
                        <c:v>KILN - CTT - CRANE - DOS - SULPHUR MELTER - SLCU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5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Shortbranches'!$C$10:$N$10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20</c:v>
                      </c:pt>
                      <c:pt idx="1">
                        <c:v>20</c:v>
                      </c:pt>
                      <c:pt idx="2">
                        <c:v>20</c:v>
                      </c:pt>
                      <c:pt idx="3">
                        <c:v>20</c:v>
                      </c:pt>
                      <c:pt idx="4">
                        <c:v>13</c:v>
                      </c:pt>
                      <c:pt idx="5">
                        <c:v>11</c:v>
                      </c:pt>
                      <c:pt idx="6">
                        <c:v>11</c:v>
                      </c:pt>
                      <c:pt idx="7">
                        <c:v>13</c:v>
                      </c:pt>
                      <c:pt idx="8">
                        <c:v>11</c:v>
                      </c:pt>
                      <c:pt idx="9">
                        <c:v>13</c:v>
                      </c:pt>
                      <c:pt idx="10">
                        <c:v>3</c:v>
                      </c:pt>
                      <c:pt idx="11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D74-494F-86D3-54C8BF7B4C0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Shortbranches'!$A$11:$B$11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  <c:pt idx="1">
                        <c:v>DRYER/COALMILL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Shortbranches'!$C$11:$N$11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84</c:v>
                      </c:pt>
                      <c:pt idx="1">
                        <c:v>84</c:v>
                      </c:pt>
                      <c:pt idx="2">
                        <c:v>84</c:v>
                      </c:pt>
                      <c:pt idx="3">
                        <c:v>84</c:v>
                      </c:pt>
                      <c:pt idx="4">
                        <c:v>71</c:v>
                      </c:pt>
                      <c:pt idx="5">
                        <c:v>38</c:v>
                      </c:pt>
                      <c:pt idx="6">
                        <c:v>39</c:v>
                      </c:pt>
                      <c:pt idx="7">
                        <c:v>39</c:v>
                      </c:pt>
                      <c:pt idx="8">
                        <c:v>23</c:v>
                      </c:pt>
                      <c:pt idx="9">
                        <c:v>17</c:v>
                      </c:pt>
                      <c:pt idx="10">
                        <c:v>16</c:v>
                      </c:pt>
                      <c:pt idx="11">
                        <c:v>22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D74-494F-86D3-54C8BF7B4C0E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Shortbranches'!$A$13:$B$13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  <c:pt idx="1">
                        <c:v>CONVERTER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Shortbranches'!$C$13:$N$13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</c:v>
                      </c:pt>
                      <c:pt idx="6">
                        <c:v>0</c:v>
                      </c:pt>
                      <c:pt idx="7">
                        <c:v>1</c:v>
                      </c:pt>
                      <c:pt idx="8">
                        <c:v>3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1D74-494F-86D3-54C8BF7B4C0E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CONVERTER</a:t>
            </a:r>
            <a:endParaRPr lang="en-US" b="1"/>
          </a:p>
        </c:rich>
      </c:tx>
      <c:layout>
        <c:manualLayout>
          <c:xMode val="edge"/>
          <c:yMode val="edge"/>
          <c:x val="0.46693219952224485"/>
          <c:y val="1.57881425844485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73122411781860597"/>
        </c:manualLayout>
      </c:layout>
      <c:lineChart>
        <c:grouping val="standard"/>
        <c:varyColors val="0"/>
        <c:ser>
          <c:idx val="3"/>
          <c:order val="3"/>
          <c:tx>
            <c:strRef>
              <c:f>'2023-2024 Shortbranches'!$A$9:$B$9</c:f>
              <c:strCache>
                <c:ptCount val="2"/>
                <c:pt idx="0">
                  <c:v>PLAN</c:v>
                </c:pt>
                <c:pt idx="1">
                  <c:v>CONVERTER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'2023-2024 Shortbranches'!$C$5:$N$5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'2023-2024 Shortbranches'!$C$9:$N$9</c:f>
              <c:numCache>
                <c:formatCode>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5239-40EC-8F8D-ABE6E0736A5A}"/>
            </c:ext>
          </c:extLst>
        </c:ser>
        <c:ser>
          <c:idx val="7"/>
          <c:order val="7"/>
          <c:tx>
            <c:strRef>
              <c:f>'2023-2024 Shortbranches'!$A$13:$B$13</c:f>
              <c:strCache>
                <c:ptCount val="2"/>
                <c:pt idx="0">
                  <c:v>ACTUAL</c:v>
                </c:pt>
                <c:pt idx="1">
                  <c:v>CONVERTER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'2023-2024 Shortbranches'!$C$5:$N$5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'2023-2024 Shortbranches'!$C$13:$N$13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39-40EC-8F8D-ABE6E0736A5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'2023-2024 Shortbranches'!$A$6:$B$6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  <c:pt idx="1">
                        <c:v>KILN - CTT - CRANE - DOS - SULPHUR MELTER - SLCU</c:v>
                      </c:pt>
                    </c:strCache>
                  </c:strRef>
                </c:tx>
                <c:spPr>
                  <a:ln w="28575" cap="rnd">
                    <a:solidFill>
                      <a:schemeClr val="bg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bg1">
                        <a:lumMod val="50000"/>
                      </a:schemeClr>
                    </a:solidFill>
                    <a:ln w="9525">
                      <a:solidFill>
                        <a:schemeClr val="bg1">
                          <a:lumMod val="5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5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'2023-2024 Shortbranches'!$C$5:$N$5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'2023-2024 Shortbranches'!$C$6:$N$6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</c:v>
                      </c:pt>
                      <c:pt idx="4">
                        <c:v>4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8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5239-40EC-8F8D-ABE6E0736A5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Shortbranches'!$A$7:$B$7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  <c:pt idx="1">
                        <c:v>DRYER/COALMILL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Shortbranches'!$C$7:$N$7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22</c:v>
                      </c:pt>
                      <c:pt idx="1">
                        <c:v>27</c:v>
                      </c:pt>
                      <c:pt idx="2">
                        <c:v>27</c:v>
                      </c:pt>
                      <c:pt idx="3">
                        <c:v>23</c:v>
                      </c:pt>
                      <c:pt idx="4">
                        <c:v>23</c:v>
                      </c:pt>
                      <c:pt idx="5">
                        <c:v>23</c:v>
                      </c:pt>
                      <c:pt idx="6">
                        <c:v>23</c:v>
                      </c:pt>
                      <c:pt idx="7">
                        <c:v>14</c:v>
                      </c:pt>
                      <c:pt idx="8">
                        <c:v>14</c:v>
                      </c:pt>
                      <c:pt idx="9">
                        <c:v>14</c:v>
                      </c:pt>
                      <c:pt idx="10">
                        <c:v>14</c:v>
                      </c:pt>
                      <c:pt idx="11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239-40EC-8F8D-ABE6E0736A5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Shortbranches'!$A$8:$B$8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  <c:pt idx="1">
                        <c:v>FURNACE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Shortbranches'!$C$8:$N$8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7</c:v>
                      </c:pt>
                      <c:pt idx="6">
                        <c:v>7</c:v>
                      </c:pt>
                      <c:pt idx="7">
                        <c:v>9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5</c:v>
                      </c:pt>
                      <c:pt idx="11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239-40EC-8F8D-ABE6E0736A5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Shortbranches'!$A$10:$B$10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  <c:pt idx="1">
                        <c:v>KILN - CTT - CRANE - DOS - SULPHUR MELTER - SLCU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5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Shortbranches'!$C$10:$N$10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20</c:v>
                      </c:pt>
                      <c:pt idx="1">
                        <c:v>20</c:v>
                      </c:pt>
                      <c:pt idx="2">
                        <c:v>20</c:v>
                      </c:pt>
                      <c:pt idx="3">
                        <c:v>20</c:v>
                      </c:pt>
                      <c:pt idx="4">
                        <c:v>13</c:v>
                      </c:pt>
                      <c:pt idx="5">
                        <c:v>11</c:v>
                      </c:pt>
                      <c:pt idx="6">
                        <c:v>11</c:v>
                      </c:pt>
                      <c:pt idx="7">
                        <c:v>13</c:v>
                      </c:pt>
                      <c:pt idx="8">
                        <c:v>11</c:v>
                      </c:pt>
                      <c:pt idx="9">
                        <c:v>13</c:v>
                      </c:pt>
                      <c:pt idx="10">
                        <c:v>3</c:v>
                      </c:pt>
                      <c:pt idx="11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239-40EC-8F8D-ABE6E0736A5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Shortbranches'!$A$11:$B$11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  <c:pt idx="1">
                        <c:v>DRYER/COALMILL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Shortbranches'!$C$11:$N$11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84</c:v>
                      </c:pt>
                      <c:pt idx="1">
                        <c:v>84</c:v>
                      </c:pt>
                      <c:pt idx="2">
                        <c:v>84</c:v>
                      </c:pt>
                      <c:pt idx="3">
                        <c:v>84</c:v>
                      </c:pt>
                      <c:pt idx="4">
                        <c:v>71</c:v>
                      </c:pt>
                      <c:pt idx="5">
                        <c:v>38</c:v>
                      </c:pt>
                      <c:pt idx="6">
                        <c:v>39</c:v>
                      </c:pt>
                      <c:pt idx="7">
                        <c:v>39</c:v>
                      </c:pt>
                      <c:pt idx="8">
                        <c:v>23</c:v>
                      </c:pt>
                      <c:pt idx="9">
                        <c:v>17</c:v>
                      </c:pt>
                      <c:pt idx="10">
                        <c:v>16</c:v>
                      </c:pt>
                      <c:pt idx="11">
                        <c:v>22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239-40EC-8F8D-ABE6E0736A5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Shortbranches'!$A$12:$B$12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  <c:pt idx="1">
                        <c:v>FURNACE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'2023-2024 Shortbranches'!$C$12:$N$12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239-40EC-8F8D-ABE6E0736A5A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baseline="0"/>
              <a:t>FURNACE</a:t>
            </a:r>
          </a:p>
          <a:p>
            <a:pPr>
              <a:defRPr sz="1800"/>
            </a:pPr>
            <a:r>
              <a:rPr lang="en-US" sz="1800" b="0" baseline="0"/>
              <a:t>AFI's (Weekly)</a:t>
            </a:r>
            <a:endParaRPr lang="en-US" sz="1800" b="0"/>
          </a:p>
        </c:rich>
      </c:tx>
      <c:layout>
        <c:manualLayout>
          <c:xMode val="edge"/>
          <c:yMode val="edge"/>
          <c:x val="0.41778478309315109"/>
          <c:y val="1.1540862234117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6516238644576543"/>
        </c:manualLayout>
      </c:layout>
      <c:lineChart>
        <c:grouping val="standard"/>
        <c:varyColors val="0"/>
        <c:ser>
          <c:idx val="2"/>
          <c:order val="2"/>
          <c:tx>
            <c:strRef>
              <c:f>'2025 Plan AFI''s wkly'!$A$8:$B$8</c:f>
              <c:strCache>
                <c:ptCount val="2"/>
                <c:pt idx="0">
                  <c:v>PLAN</c:v>
                </c:pt>
              </c:strCache>
            </c:strRef>
          </c:tx>
          <c:spPr>
            <a:ln w="571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25"/>
            <c:spPr>
              <a:solidFill>
                <a:schemeClr val="bg1">
                  <a:lumMod val="50000"/>
                </a:schemeClr>
              </a:solidFill>
              <a:ln w="57150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AFI''s wkly'!$C$5:$G$5</c:f>
              <c:strCache>
                <c:ptCount val="5"/>
                <c:pt idx="0">
                  <c:v>wk1 (Jan)</c:v>
                </c:pt>
                <c:pt idx="1">
                  <c:v>wk30 (Jul)</c:v>
                </c:pt>
                <c:pt idx="2">
                  <c:v>wk42</c:v>
                </c:pt>
                <c:pt idx="3">
                  <c:v>wk43</c:v>
                </c:pt>
                <c:pt idx="4">
                  <c:v>wk44</c:v>
                </c:pt>
              </c:strCache>
            </c:strRef>
          </c:cat>
          <c:val>
            <c:numRef>
              <c:f>'2025 Plan AFI''s wkly'!$C$8:$G$8</c:f>
              <c:numCache>
                <c:formatCode>0</c:formatCode>
                <c:ptCount val="5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F314-425B-B60E-ED9F2EC63BF5}"/>
            </c:ext>
          </c:extLst>
        </c:ser>
        <c:ser>
          <c:idx val="6"/>
          <c:order val="6"/>
          <c:tx>
            <c:strRef>
              <c:f>'2025 Plan AFI''s wkly'!$A$12:$B$12</c:f>
              <c:strCache>
                <c:ptCount val="2"/>
                <c:pt idx="0">
                  <c:v>ACTUAL</c:v>
                </c:pt>
              </c:strCache>
            </c:strRef>
          </c:tx>
          <c:spPr>
            <a:ln w="57150" cap="rnd">
              <a:solidFill>
                <a:srgbClr val="2D8F78"/>
              </a:solidFill>
              <a:round/>
            </a:ln>
            <a:effectLst/>
          </c:spPr>
          <c:marker>
            <c:symbol val="circle"/>
            <c:size val="25"/>
            <c:spPr>
              <a:solidFill>
                <a:srgbClr val="2D8F78"/>
              </a:solidFill>
              <a:ln w="57150">
                <a:solidFill>
                  <a:srgbClr val="2D8F7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AFI''s wkly'!$C$5:$G$5</c:f>
              <c:strCache>
                <c:ptCount val="5"/>
                <c:pt idx="0">
                  <c:v>wk1 (Jan)</c:v>
                </c:pt>
                <c:pt idx="1">
                  <c:v>wk30 (Jul)</c:v>
                </c:pt>
                <c:pt idx="2">
                  <c:v>wk42</c:v>
                </c:pt>
                <c:pt idx="3">
                  <c:v>wk43</c:v>
                </c:pt>
                <c:pt idx="4">
                  <c:v>wk44</c:v>
                </c:pt>
              </c:strCache>
            </c:strRef>
          </c:cat>
          <c:val>
            <c:numRef>
              <c:f>'2025 Plan AFI''s wkly'!$C$12:$G$12</c:f>
              <c:numCache>
                <c:formatCode>0</c:formatCode>
                <c:ptCount val="5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14-425B-B60E-ED9F2EC63BF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'2025 Plan AFI''s wkly'!$A$6:$B$6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bg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bg1">
                        <a:lumMod val="50000"/>
                      </a:schemeClr>
                    </a:solidFill>
                    <a:ln w="9525">
                      <a:solidFill>
                        <a:schemeClr val="bg1">
                          <a:lumMod val="5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5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'2025 Plan AFI''s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AFI''s wkly'!$C$6:$G$6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496</c:v>
                      </c:pt>
                      <c:pt idx="1">
                        <c:v>196</c:v>
                      </c:pt>
                      <c:pt idx="2">
                        <c:v>70</c:v>
                      </c:pt>
                      <c:pt idx="3">
                        <c:v>55</c:v>
                      </c:pt>
                      <c:pt idx="4">
                        <c:v>30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F314-425B-B60E-ED9F2EC63BF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wkly'!$A$7:$B$7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wkly'!$C$7:$G$7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200</c:v>
                      </c:pt>
                      <c:pt idx="1">
                        <c:v>50</c:v>
                      </c:pt>
                      <c:pt idx="2">
                        <c:v>10</c:v>
                      </c:pt>
                      <c:pt idx="3">
                        <c:v>0.01</c:v>
                      </c:pt>
                      <c:pt idx="4">
                        <c:v>0.01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314-425B-B60E-ED9F2EC63BF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wkly'!$A$9:$B$9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wkly'!$C$9:$G$9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5</c:v>
                      </c:pt>
                      <c:pt idx="1">
                        <c:v>0.15</c:v>
                      </c:pt>
                      <c:pt idx="2">
                        <c:v>0.15</c:v>
                      </c:pt>
                      <c:pt idx="3">
                        <c:v>0.15</c:v>
                      </c:pt>
                      <c:pt idx="4">
                        <c:v>0.15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314-425B-B60E-ED9F2EC63BF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wkly'!$A$10:$B$10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5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wkly'!$C$10:$G$10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496</c:v>
                      </c:pt>
                      <c:pt idx="1">
                        <c:v>113</c:v>
                      </c:pt>
                      <c:pt idx="2">
                        <c:v>69</c:v>
                      </c:pt>
                      <c:pt idx="3">
                        <c:v>39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314-425B-B60E-ED9F2EC63BF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wkly'!$A$11:$B$11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wkly'!$C$11:$G$11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200</c:v>
                      </c:pt>
                      <c:pt idx="1">
                        <c:v>57</c:v>
                      </c:pt>
                      <c:pt idx="2">
                        <c:v>3</c:v>
                      </c:pt>
                      <c:pt idx="3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314-425B-B60E-ED9F2EC63BF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wkly'!$A$13:$B$13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wkly'!$C$13:$G$13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5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314-425B-B60E-ED9F2EC63BF5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605173100414333"/>
          <c:y val="0.87442293527538295"/>
          <c:w val="0.2846208566499942"/>
          <c:h val="7.61699501001110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baseline="0"/>
              <a:t>CONVERTER</a:t>
            </a:r>
          </a:p>
          <a:p>
            <a:pPr>
              <a:defRPr sz="1800"/>
            </a:pPr>
            <a:r>
              <a:rPr lang="en-US" sz="1800" b="0" baseline="0"/>
              <a:t>AFI's (Weekly)</a:t>
            </a:r>
            <a:endParaRPr lang="en-US" sz="1800" b="0"/>
          </a:p>
        </c:rich>
      </c:tx>
      <c:layout>
        <c:manualLayout>
          <c:xMode val="edge"/>
          <c:yMode val="edge"/>
          <c:x val="0.42993681568493797"/>
          <c:y val="1.57881970913482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65711354386037724"/>
        </c:manualLayout>
      </c:layout>
      <c:lineChart>
        <c:grouping val="standard"/>
        <c:varyColors val="0"/>
        <c:ser>
          <c:idx val="3"/>
          <c:order val="3"/>
          <c:tx>
            <c:strRef>
              <c:f>'2025 Plan AFI''s wkly'!$A$9:$B$9</c:f>
              <c:strCache>
                <c:ptCount val="2"/>
                <c:pt idx="0">
                  <c:v>PLAN</c:v>
                </c:pt>
              </c:strCache>
            </c:strRef>
          </c:tx>
          <c:spPr>
            <a:ln w="571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25"/>
            <c:spPr>
              <a:solidFill>
                <a:schemeClr val="bg1">
                  <a:lumMod val="50000"/>
                </a:schemeClr>
              </a:solidFill>
              <a:ln w="57150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AFI''s wkly'!$C$5:$G$5</c:f>
              <c:strCache>
                <c:ptCount val="5"/>
                <c:pt idx="0">
                  <c:v>wk1 (Jan)</c:v>
                </c:pt>
                <c:pt idx="1">
                  <c:v>wk30 (Jul)</c:v>
                </c:pt>
                <c:pt idx="2">
                  <c:v>wk42</c:v>
                </c:pt>
                <c:pt idx="3">
                  <c:v>wk43</c:v>
                </c:pt>
                <c:pt idx="4">
                  <c:v>wk44</c:v>
                </c:pt>
              </c:strCache>
            </c:strRef>
          </c:cat>
          <c:val>
            <c:numRef>
              <c:f>'2025 Plan AFI''s wkly'!$C$9:$G$9</c:f>
              <c:numCache>
                <c:formatCode>0</c:formatCode>
                <c:ptCount val="5"/>
                <c:pt idx="0">
                  <c:v>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E58C-4B60-B7B6-46C9D2968798}"/>
            </c:ext>
          </c:extLst>
        </c:ser>
        <c:ser>
          <c:idx val="7"/>
          <c:order val="7"/>
          <c:tx>
            <c:strRef>
              <c:f>'2025 Plan AFI''s wkly'!$A$13:$B$13</c:f>
              <c:strCache>
                <c:ptCount val="2"/>
                <c:pt idx="0">
                  <c:v>ACTUAL</c:v>
                </c:pt>
              </c:strCache>
            </c:strRef>
          </c:tx>
          <c:spPr>
            <a:ln w="57150" cap="rnd">
              <a:solidFill>
                <a:srgbClr val="2D8F78"/>
              </a:solidFill>
              <a:round/>
            </a:ln>
            <a:effectLst/>
          </c:spPr>
          <c:marker>
            <c:symbol val="circle"/>
            <c:size val="25"/>
            <c:spPr>
              <a:solidFill>
                <a:srgbClr val="2D8F78"/>
              </a:solidFill>
              <a:ln w="57150">
                <a:solidFill>
                  <a:srgbClr val="2D8F7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AFI''s wkly'!$C$5:$G$5</c:f>
              <c:strCache>
                <c:ptCount val="5"/>
                <c:pt idx="0">
                  <c:v>wk1 (Jan)</c:v>
                </c:pt>
                <c:pt idx="1">
                  <c:v>wk30 (Jul)</c:v>
                </c:pt>
                <c:pt idx="2">
                  <c:v>wk42</c:v>
                </c:pt>
                <c:pt idx="3">
                  <c:v>wk43</c:v>
                </c:pt>
                <c:pt idx="4">
                  <c:v>wk44</c:v>
                </c:pt>
              </c:strCache>
            </c:strRef>
          </c:cat>
          <c:val>
            <c:numRef>
              <c:f>'2025 Plan AFI''s wkly'!$C$13:$G$13</c:f>
              <c:numCache>
                <c:formatCode>0</c:formatCode>
                <c:ptCount val="5"/>
                <c:pt idx="0">
                  <c:v>5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8C-4B60-B7B6-46C9D296879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'2025 Plan AFI''s wkly'!$A$6:$B$6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bg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bg1">
                        <a:lumMod val="50000"/>
                      </a:schemeClr>
                    </a:solidFill>
                    <a:ln w="9525">
                      <a:solidFill>
                        <a:schemeClr val="bg1">
                          <a:lumMod val="5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5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'2025 Plan AFI''s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AFI''s wkly'!$C$6:$G$6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496</c:v>
                      </c:pt>
                      <c:pt idx="1">
                        <c:v>196</c:v>
                      </c:pt>
                      <c:pt idx="2">
                        <c:v>70</c:v>
                      </c:pt>
                      <c:pt idx="3">
                        <c:v>55</c:v>
                      </c:pt>
                      <c:pt idx="4">
                        <c:v>30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E58C-4B60-B7B6-46C9D2968798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wkly'!$A$7:$B$7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wkly'!$C$7:$G$7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200</c:v>
                      </c:pt>
                      <c:pt idx="1">
                        <c:v>50</c:v>
                      </c:pt>
                      <c:pt idx="2">
                        <c:v>10</c:v>
                      </c:pt>
                      <c:pt idx="3">
                        <c:v>0.01</c:v>
                      </c:pt>
                      <c:pt idx="4">
                        <c:v>0.01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58C-4B60-B7B6-46C9D2968798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wkly'!$A$8:$B$8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wkly'!$C$8:$G$8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0.01</c:v>
                      </c:pt>
                      <c:pt idx="1">
                        <c:v>0.01</c:v>
                      </c:pt>
                      <c:pt idx="2">
                        <c:v>0.01</c:v>
                      </c:pt>
                      <c:pt idx="3">
                        <c:v>0.01</c:v>
                      </c:pt>
                      <c:pt idx="4">
                        <c:v>0.01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58C-4B60-B7B6-46C9D296879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wkly'!$A$10:$B$10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5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wkly'!$C$10:$G$10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496</c:v>
                      </c:pt>
                      <c:pt idx="1">
                        <c:v>113</c:v>
                      </c:pt>
                      <c:pt idx="2">
                        <c:v>69</c:v>
                      </c:pt>
                      <c:pt idx="3">
                        <c:v>39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58C-4B60-B7B6-46C9D296879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wkly'!$A$11:$B$11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wkly'!$C$11:$G$11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200</c:v>
                      </c:pt>
                      <c:pt idx="1">
                        <c:v>57</c:v>
                      </c:pt>
                      <c:pt idx="2">
                        <c:v>3</c:v>
                      </c:pt>
                      <c:pt idx="3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58C-4B60-B7B6-46C9D2968798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wkly'!$A$12:$B$12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wkly'!$C$12:$G$12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0.01</c:v>
                      </c:pt>
                      <c:pt idx="1">
                        <c:v>0.01</c:v>
                      </c:pt>
                      <c:pt idx="2">
                        <c:v>0.01</c:v>
                      </c:pt>
                      <c:pt idx="3">
                        <c:v>0.01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58C-4B60-B7B6-46C9D2968798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932741234586241"/>
          <c:y val="0.87167809557402165"/>
          <c:w val="0.2846208566499942"/>
          <c:h val="7.61699501001110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Vale Sans" panose="020B0503020204030204" pitchFamily="34" charset="0"/>
                <a:ea typeface="+mn-ea"/>
                <a:cs typeface="+mn-cs"/>
              </a:defRPr>
            </a:pPr>
            <a:r>
              <a:rPr lang="en-US" sz="1800" b="1" baseline="0">
                <a:latin typeface="Vale Sans" panose="020B0503020204030204" pitchFamily="34" charset="0"/>
              </a:rPr>
              <a:t>KILN - CTS</a:t>
            </a:r>
          </a:p>
          <a:p>
            <a:pPr>
              <a:defRPr sz="1800">
                <a:latin typeface="Vale Sans" panose="020B0503020204030204" pitchFamily="34" charset="0"/>
              </a:defRPr>
            </a:pPr>
            <a:r>
              <a:rPr lang="en-US" sz="1800" b="0" baseline="0">
                <a:latin typeface="Vale Sans" panose="020B0503020204030204" pitchFamily="34" charset="0"/>
              </a:rPr>
              <a:t>AFI's 2025</a:t>
            </a:r>
            <a:endParaRPr lang="en-US" sz="1800" b="0">
              <a:latin typeface="Vale Sans" panose="020B0503020204030204" pitchFamily="34" charset="0"/>
            </a:endParaRPr>
          </a:p>
        </c:rich>
      </c:tx>
      <c:layout>
        <c:manualLayout>
          <c:xMode val="edge"/>
          <c:yMode val="edge"/>
          <c:x val="0.43556292770410826"/>
          <c:y val="1.32086614173228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Vale Sans" panose="020B0503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646053160744545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'2025 Plan AFI''s wkly'!$A$6:$B$6</c:f>
              <c:strCache>
                <c:ptCount val="2"/>
                <c:pt idx="0">
                  <c:v>PLAN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6350"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5120349653230395E-17"/>
                  <c:y val="-4.722222222222222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3F8-4818-A12D-2A9B1A3DFE50}"/>
                </c:ext>
              </c:extLst>
            </c:dLbl>
            <c:dLbl>
              <c:idx val="2"/>
              <c:layout>
                <c:manualLayout>
                  <c:x val="0"/>
                  <c:y val="-3.611111111111121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5A9-4E18-BB6A-879E30491442}"/>
                </c:ext>
              </c:extLst>
            </c:dLbl>
            <c:dLbl>
              <c:idx val="3"/>
              <c:layout>
                <c:manualLayout>
                  <c:x val="1.6495117445236209E-3"/>
                  <c:y val="-4.444444444444454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B52-4E5A-949B-6FA8D90CA5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Vale Sans" panose="020B0503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AFI''s wkly'!$C$5:$G$5</c:f>
              <c:strCache>
                <c:ptCount val="5"/>
                <c:pt idx="0">
                  <c:v>wk1 (Jan)</c:v>
                </c:pt>
                <c:pt idx="1">
                  <c:v>wk30 (Jul)</c:v>
                </c:pt>
                <c:pt idx="2">
                  <c:v>wk42</c:v>
                </c:pt>
                <c:pt idx="3">
                  <c:v>wk43</c:v>
                </c:pt>
                <c:pt idx="4">
                  <c:v>wk44</c:v>
                </c:pt>
              </c:strCache>
            </c:strRef>
          </c:cat>
          <c:val>
            <c:numRef>
              <c:f>'2025 Plan AFI''s wkly'!$C$6:$G$6</c:f>
              <c:numCache>
                <c:formatCode>0</c:formatCode>
                <c:ptCount val="5"/>
                <c:pt idx="0">
                  <c:v>496</c:v>
                </c:pt>
                <c:pt idx="1">
                  <c:v>196</c:v>
                </c:pt>
                <c:pt idx="2">
                  <c:v>70</c:v>
                </c:pt>
                <c:pt idx="3">
                  <c:v>55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ED-4BCF-B369-45931D4FE34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50571840"/>
        <c:axId val="95056716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'2025 Plan AFI''s wkly'!$A$7:$B$7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ormulaRef>
                          <c15:sqref>'2025 Plan AFI''s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AFI''s wkly'!$C$7:$G$7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200</c:v>
                      </c:pt>
                      <c:pt idx="1">
                        <c:v>50</c:v>
                      </c:pt>
                      <c:pt idx="2">
                        <c:v>10</c:v>
                      </c:pt>
                      <c:pt idx="3">
                        <c:v>0.01</c:v>
                      </c:pt>
                      <c:pt idx="4">
                        <c:v>0.01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59ED-4BCF-B369-45931D4FE34D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wkly'!$A$8:$B$8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wkly'!$C$8:$G$8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0.01</c:v>
                      </c:pt>
                      <c:pt idx="1">
                        <c:v>0.01</c:v>
                      </c:pt>
                      <c:pt idx="2">
                        <c:v>0.01</c:v>
                      </c:pt>
                      <c:pt idx="3">
                        <c:v>0.01</c:v>
                      </c:pt>
                      <c:pt idx="4">
                        <c:v>0.01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9ED-4BCF-B369-45931D4FE34D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wkly'!$A$9:$B$9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wkly'!$C$9:$G$9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5</c:v>
                      </c:pt>
                      <c:pt idx="1">
                        <c:v>0.15</c:v>
                      </c:pt>
                      <c:pt idx="2">
                        <c:v>0.15</c:v>
                      </c:pt>
                      <c:pt idx="3">
                        <c:v>0.15</c:v>
                      </c:pt>
                      <c:pt idx="4">
                        <c:v>0.15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9ED-4BCF-B369-45931D4FE34D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wkly'!$A$11:$B$11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wkly'!$C$11:$G$11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200</c:v>
                      </c:pt>
                      <c:pt idx="1">
                        <c:v>57</c:v>
                      </c:pt>
                      <c:pt idx="2">
                        <c:v>3</c:v>
                      </c:pt>
                      <c:pt idx="3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59ED-4BCF-B369-45931D4FE34D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wkly'!$A$12:$B$12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wkly'!$C$12:$G$12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0.01</c:v>
                      </c:pt>
                      <c:pt idx="1">
                        <c:v>0.01</c:v>
                      </c:pt>
                      <c:pt idx="2">
                        <c:v>0.01</c:v>
                      </c:pt>
                      <c:pt idx="3">
                        <c:v>0.01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59ED-4BCF-B369-45931D4FE34D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wkly'!$A$13:$B$13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wkly'!$C$13:$G$13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5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59ED-4BCF-B369-45931D4FE34D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'2025 Plan AFI''s wkly'!$A$10:$B$10</c:f>
              <c:strCache>
                <c:ptCount val="2"/>
                <c:pt idx="0">
                  <c:v>ACTUAL</c:v>
                </c:pt>
              </c:strCache>
            </c:strRef>
          </c:tx>
          <c:spPr>
            <a:ln w="57150" cap="rnd">
              <a:solidFill>
                <a:srgbClr val="2D8F78"/>
              </a:solidFill>
              <a:round/>
            </a:ln>
            <a:effectLst/>
          </c:spPr>
          <c:marker>
            <c:symbol val="star"/>
            <c:size val="32"/>
            <c:spPr>
              <a:solidFill>
                <a:srgbClr val="2D8F78"/>
              </a:solidFill>
              <a:ln w="57150">
                <a:solidFill>
                  <a:srgbClr val="2D8F78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5.6961200409211606E-2"/>
                  <c:y val="5.7215995790344375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9ED-4BCF-B369-45931D4FE3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Vale Sans" panose="020B0503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AFI''s wkly'!$C$5:$G$5</c:f>
              <c:strCache>
                <c:ptCount val="5"/>
                <c:pt idx="0">
                  <c:v>wk1 (Jan)</c:v>
                </c:pt>
                <c:pt idx="1">
                  <c:v>wk30 (Jul)</c:v>
                </c:pt>
                <c:pt idx="2">
                  <c:v>wk42</c:v>
                </c:pt>
                <c:pt idx="3">
                  <c:v>wk43</c:v>
                </c:pt>
                <c:pt idx="4">
                  <c:v>wk44</c:v>
                </c:pt>
              </c:strCache>
            </c:strRef>
          </c:cat>
          <c:val>
            <c:numRef>
              <c:f>'2025 Plan AFI''s wkly'!$C$10:$G$10</c:f>
              <c:numCache>
                <c:formatCode>0</c:formatCode>
                <c:ptCount val="5"/>
                <c:pt idx="0">
                  <c:v>496</c:v>
                </c:pt>
                <c:pt idx="1">
                  <c:v>113</c:v>
                </c:pt>
                <c:pt idx="2">
                  <c:v>69</c:v>
                </c:pt>
                <c:pt idx="3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9ED-4BCF-B369-45931D4FE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Vale Sans" panose="020B0503020204030204" pitchFamily="34" charset="0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6178399760254287"/>
          <c:y val="0.82867782423011627"/>
          <c:w val="0.27281077995753056"/>
          <c:h val="0.14421057326514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ale Sans" panose="020B0503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5F8FF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Vale Sans" panose="020B0503020204030204" pitchFamily="34" charset="0"/>
                <a:ea typeface="+mn-ea"/>
                <a:cs typeface="+mn-cs"/>
              </a:defRPr>
            </a:pPr>
            <a:r>
              <a:rPr lang="en-US" sz="1800" b="1" baseline="0">
                <a:latin typeface="Vale Sans" panose="020B0503020204030204" pitchFamily="34" charset="0"/>
              </a:rPr>
              <a:t>DRYER-CM</a:t>
            </a:r>
          </a:p>
          <a:p>
            <a:pPr>
              <a:defRPr sz="1800">
                <a:latin typeface="Vale Sans" panose="020B0503020204030204" pitchFamily="34" charset="0"/>
              </a:defRPr>
            </a:pPr>
            <a:r>
              <a:rPr lang="en-US" sz="1800" b="0" baseline="0">
                <a:latin typeface="Vale Sans" panose="020B0503020204030204" pitchFamily="34" charset="0"/>
              </a:rPr>
              <a:t>AFI's (Weekly)</a:t>
            </a:r>
            <a:endParaRPr lang="en-US" sz="1800" b="0">
              <a:latin typeface="Vale Sans" panose="020B0503020204030204" pitchFamily="34" charset="0"/>
            </a:endParaRPr>
          </a:p>
        </c:rich>
      </c:tx>
      <c:layout>
        <c:manualLayout>
          <c:xMode val="edge"/>
          <c:yMode val="edge"/>
          <c:x val="0.4190677773255253"/>
          <c:y val="1.59864713050660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Vale Sans" panose="020B0503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646053160744545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'2025 Plan AFI''s wkly'!$A$7:$B$7</c:f>
              <c:strCache>
                <c:ptCount val="2"/>
                <c:pt idx="0">
                  <c:v>PLAN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5120349653230395E-17"/>
                  <c:y val="-4.466666666666666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F2-4D75-B490-1B080A350762}"/>
                </c:ext>
              </c:extLst>
            </c:dLbl>
            <c:dLbl>
              <c:idx val="1"/>
              <c:layout>
                <c:manualLayout>
                  <c:x val="1.6495117445236209E-3"/>
                  <c:y val="-5.29999999999999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F2-4D75-B490-1B080A350762}"/>
                </c:ext>
              </c:extLst>
            </c:dLbl>
            <c:dLbl>
              <c:idx val="2"/>
              <c:layout>
                <c:manualLayout>
                  <c:x val="1.6495117445236209E-3"/>
                  <c:y val="-4.043744531933508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F2-4D75-B490-1B080A350762}"/>
                </c:ext>
              </c:extLst>
            </c:dLbl>
            <c:dLbl>
              <c:idx val="3"/>
              <c:layout>
                <c:manualLayout>
                  <c:x val="-1.2096279722584316E-16"/>
                  <c:y val="-4.744444444444439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1FC-46C6-A6C1-238ED33FD6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Vale Sans" panose="020B0503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AFI''s wkly'!$C$5:$G$5</c:f>
              <c:strCache>
                <c:ptCount val="5"/>
                <c:pt idx="0">
                  <c:v>wk1 (Jan)</c:v>
                </c:pt>
                <c:pt idx="1">
                  <c:v>wk30 (Jul)</c:v>
                </c:pt>
                <c:pt idx="2">
                  <c:v>wk42</c:v>
                </c:pt>
                <c:pt idx="3">
                  <c:v>wk43</c:v>
                </c:pt>
                <c:pt idx="4">
                  <c:v>wk44</c:v>
                </c:pt>
              </c:strCache>
            </c:strRef>
          </c:cat>
          <c:val>
            <c:numRef>
              <c:f>'2025 Plan AFI''s wkly'!$C$7:$G$7</c:f>
              <c:numCache>
                <c:formatCode>0</c:formatCode>
                <c:ptCount val="5"/>
                <c:pt idx="0">
                  <c:v>200</c:v>
                </c:pt>
                <c:pt idx="1">
                  <c:v>50</c:v>
                </c:pt>
                <c:pt idx="2">
                  <c:v>10</c:v>
                </c:pt>
                <c:pt idx="3">
                  <c:v>0.01</c:v>
                </c:pt>
                <c:pt idx="4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0-4537-B31B-E135B01598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50571840"/>
        <c:axId val="95056716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'2025 Plan AFI''s wkly'!$A$7:$B$7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ormulaRef>
                          <c15:sqref>'2025 Plan AFI''s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AFI''s wkly'!$C$7:$G$7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200</c:v>
                      </c:pt>
                      <c:pt idx="1">
                        <c:v>50</c:v>
                      </c:pt>
                      <c:pt idx="2">
                        <c:v>10</c:v>
                      </c:pt>
                      <c:pt idx="3">
                        <c:v>0.01</c:v>
                      </c:pt>
                      <c:pt idx="4">
                        <c:v>0.01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6270-4537-B31B-E135B01598BF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wkly'!$A$8:$B$8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wkly'!$C$8:$G$8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0.01</c:v>
                      </c:pt>
                      <c:pt idx="1">
                        <c:v>0.01</c:v>
                      </c:pt>
                      <c:pt idx="2">
                        <c:v>0.01</c:v>
                      </c:pt>
                      <c:pt idx="3">
                        <c:v>0.01</c:v>
                      </c:pt>
                      <c:pt idx="4">
                        <c:v>0.01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70-4537-B31B-E135B01598BF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wkly'!$A$9:$B$9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wkly'!$C$9:$G$9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5</c:v>
                      </c:pt>
                      <c:pt idx="1">
                        <c:v>0.15</c:v>
                      </c:pt>
                      <c:pt idx="2">
                        <c:v>0.15</c:v>
                      </c:pt>
                      <c:pt idx="3">
                        <c:v>0.15</c:v>
                      </c:pt>
                      <c:pt idx="4">
                        <c:v>0.15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270-4537-B31B-E135B01598BF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wkly'!$A$11:$B$11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wkly'!$C$11:$G$11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200</c:v>
                      </c:pt>
                      <c:pt idx="1">
                        <c:v>57</c:v>
                      </c:pt>
                      <c:pt idx="2">
                        <c:v>3</c:v>
                      </c:pt>
                      <c:pt idx="3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270-4537-B31B-E135B01598BF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wkly'!$A$12:$B$12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wkly'!$C$12:$G$12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0.01</c:v>
                      </c:pt>
                      <c:pt idx="1">
                        <c:v>0.01</c:v>
                      </c:pt>
                      <c:pt idx="2">
                        <c:v>0.01</c:v>
                      </c:pt>
                      <c:pt idx="3">
                        <c:v>0.01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270-4537-B31B-E135B01598BF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wkly'!$A$13:$B$13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wkly'!$C$13:$G$13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5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6270-4537-B31B-E135B01598BF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'2025 Plan AFI''s wkly'!$A$11:$B$11</c:f>
              <c:strCache>
                <c:ptCount val="2"/>
                <c:pt idx="0">
                  <c:v>ACTUAL</c:v>
                </c:pt>
              </c:strCache>
            </c:strRef>
          </c:tx>
          <c:spPr>
            <a:ln w="57150" cap="rnd">
              <a:solidFill>
                <a:srgbClr val="2D8F78"/>
              </a:solidFill>
              <a:round/>
            </a:ln>
            <a:effectLst/>
          </c:spPr>
          <c:marker>
            <c:symbol val="star"/>
            <c:size val="29"/>
            <c:spPr>
              <a:solidFill>
                <a:srgbClr val="2D8F78"/>
              </a:solidFill>
              <a:ln w="57150">
                <a:solidFill>
                  <a:srgbClr val="2D8F7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Vale Sans" panose="020B0503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AFI''s wkly'!$C$5:$G$5</c:f>
              <c:strCache>
                <c:ptCount val="5"/>
                <c:pt idx="0">
                  <c:v>wk1 (Jan)</c:v>
                </c:pt>
                <c:pt idx="1">
                  <c:v>wk30 (Jul)</c:v>
                </c:pt>
                <c:pt idx="2">
                  <c:v>wk42</c:v>
                </c:pt>
                <c:pt idx="3">
                  <c:v>wk43</c:v>
                </c:pt>
                <c:pt idx="4">
                  <c:v>wk44</c:v>
                </c:pt>
              </c:strCache>
            </c:strRef>
          </c:cat>
          <c:val>
            <c:numRef>
              <c:f>'2025 Plan AFI''s wkly'!$C$11:$G$11</c:f>
              <c:numCache>
                <c:formatCode>0</c:formatCode>
                <c:ptCount val="5"/>
                <c:pt idx="0">
                  <c:v>200</c:v>
                </c:pt>
                <c:pt idx="1">
                  <c:v>57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70-4537-B31B-E135B0159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Vale Sans" panose="020B0503020204030204" pitchFamily="34" charset="0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6178399760254287"/>
          <c:y val="0.82867782423011627"/>
          <c:w val="0.27281077995753056"/>
          <c:h val="0.14421057326514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ale Sans" panose="020B0503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5F8FF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Vale Sans" panose="020B0503020204030204" pitchFamily="34" charset="0"/>
                <a:ea typeface="+mn-ea"/>
                <a:cs typeface="+mn-cs"/>
              </a:defRPr>
            </a:pPr>
            <a:r>
              <a:rPr lang="en-US" sz="1800" b="1" baseline="0">
                <a:latin typeface="Vale Sans" panose="020B0503020204030204" pitchFamily="34" charset="0"/>
              </a:rPr>
              <a:t>FURNACE</a:t>
            </a:r>
          </a:p>
          <a:p>
            <a:pPr>
              <a:defRPr sz="1800">
                <a:latin typeface="Vale Sans" panose="020B0503020204030204" pitchFamily="34" charset="0"/>
              </a:defRPr>
            </a:pPr>
            <a:r>
              <a:rPr lang="en-US" sz="1800" b="0" baseline="0">
                <a:latin typeface="Vale Sans" panose="020B0503020204030204" pitchFamily="34" charset="0"/>
              </a:rPr>
              <a:t>AFI's (Weekly)</a:t>
            </a:r>
            <a:endParaRPr lang="en-US" sz="1800" b="0">
              <a:latin typeface="Vale Sans" panose="020B0503020204030204" pitchFamily="34" charset="0"/>
            </a:endParaRPr>
          </a:p>
        </c:rich>
      </c:tx>
      <c:layout>
        <c:manualLayout>
          <c:xMode val="edge"/>
          <c:yMode val="edge"/>
          <c:x val="0.4190677773255253"/>
          <c:y val="1.59864713050660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Vale Sans" panose="020B0503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646053160744545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'2025 Plan AFI''s wkly'!$A$8:$B$8</c:f>
              <c:strCache>
                <c:ptCount val="2"/>
                <c:pt idx="0">
                  <c:v>PLAN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2.33852993011416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0D4-4D48-8E91-6F3095C8FB5D}"/>
                </c:ext>
              </c:extLst>
            </c:dLbl>
            <c:dLbl>
              <c:idx val="1"/>
              <c:layout>
                <c:manualLayout>
                  <c:x val="0"/>
                  <c:y val="-2.33852993011416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0D4-4D48-8E91-6F3095C8FB5D}"/>
                </c:ext>
              </c:extLst>
            </c:dLbl>
            <c:dLbl>
              <c:idx val="2"/>
              <c:layout>
                <c:manualLayout>
                  <c:x val="3.283697316932831E-3"/>
                  <c:y val="-2.59835958005249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0D4-4D48-8E91-6F3095C8FB5D}"/>
                </c:ext>
              </c:extLst>
            </c:dLbl>
            <c:dLbl>
              <c:idx val="3"/>
              <c:layout>
                <c:manualLayout>
                  <c:x val="0"/>
                  <c:y val="-2.87613735783027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0D4-4D48-8E91-6F3095C8FB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Vale Sans" panose="020B0503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AFI''s wkly'!$C$5:$G$5</c:f>
              <c:strCache>
                <c:ptCount val="5"/>
                <c:pt idx="0">
                  <c:v>wk1 (Jan)</c:v>
                </c:pt>
                <c:pt idx="1">
                  <c:v>wk30 (Jul)</c:v>
                </c:pt>
                <c:pt idx="2">
                  <c:v>wk42</c:v>
                </c:pt>
                <c:pt idx="3">
                  <c:v>wk43</c:v>
                </c:pt>
                <c:pt idx="4">
                  <c:v>wk44</c:v>
                </c:pt>
              </c:strCache>
            </c:strRef>
          </c:cat>
          <c:val>
            <c:numRef>
              <c:f>'2025 Plan AFI''s wkly'!$C$8:$G$8</c:f>
              <c:numCache>
                <c:formatCode>0</c:formatCode>
                <c:ptCount val="5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D4-4D48-8E91-6F3095C8FB5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50571840"/>
        <c:axId val="95056716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'2025 Plan AFI''s wkly'!$A$7:$B$7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bg1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2000" b="1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Vale Sans" panose="020B050302020403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'2025 Plan AFI''s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AFI''s wkly'!$C$7:$G$7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200</c:v>
                      </c:pt>
                      <c:pt idx="1">
                        <c:v>50</c:v>
                      </c:pt>
                      <c:pt idx="2">
                        <c:v>10</c:v>
                      </c:pt>
                      <c:pt idx="3">
                        <c:v>0.01</c:v>
                      </c:pt>
                      <c:pt idx="4">
                        <c:v>0.01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80D4-4D48-8E91-6F3095C8FB5D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wkly'!$A$8:$B$8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wkly'!$C$8:$G$8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0.01</c:v>
                      </c:pt>
                      <c:pt idx="1">
                        <c:v>0.01</c:v>
                      </c:pt>
                      <c:pt idx="2">
                        <c:v>0.01</c:v>
                      </c:pt>
                      <c:pt idx="3">
                        <c:v>0.01</c:v>
                      </c:pt>
                      <c:pt idx="4">
                        <c:v>0.01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0D4-4D48-8E91-6F3095C8FB5D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wkly'!$A$9:$B$9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wkly'!$C$9:$G$9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5</c:v>
                      </c:pt>
                      <c:pt idx="1">
                        <c:v>0.15</c:v>
                      </c:pt>
                      <c:pt idx="2">
                        <c:v>0.15</c:v>
                      </c:pt>
                      <c:pt idx="3">
                        <c:v>0.15</c:v>
                      </c:pt>
                      <c:pt idx="4">
                        <c:v>0.15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0D4-4D48-8E91-6F3095C8FB5D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wkly'!$A$11:$B$11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 w="57150">
                    <a:solidFill>
                      <a:srgbClr val="2D8F78"/>
                    </a:solidFill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2000" b="1" i="0" u="none" strike="noStrike" kern="1200" baseline="0">
                          <a:solidFill>
                            <a:schemeClr val="bg1"/>
                          </a:solidFill>
                          <a:latin typeface="Vale Sans" panose="020B050302020403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wkly'!$C$11:$G$11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200</c:v>
                      </c:pt>
                      <c:pt idx="1">
                        <c:v>57</c:v>
                      </c:pt>
                      <c:pt idx="2">
                        <c:v>3</c:v>
                      </c:pt>
                      <c:pt idx="3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0D4-4D48-8E91-6F3095C8FB5D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wkly'!$A$12:$B$12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wkly'!$C$12:$G$12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0.01</c:v>
                      </c:pt>
                      <c:pt idx="1">
                        <c:v>0.01</c:v>
                      </c:pt>
                      <c:pt idx="2">
                        <c:v>0.01</c:v>
                      </c:pt>
                      <c:pt idx="3">
                        <c:v>0.01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0D4-4D48-8E91-6F3095C8FB5D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wkly'!$A$13:$B$13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wkly'!$C$13:$G$13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5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0D4-4D48-8E91-6F3095C8FB5D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'2025 Plan AFI''s wkly'!$A$12:$B$12</c:f>
              <c:strCache>
                <c:ptCount val="2"/>
                <c:pt idx="0">
                  <c:v>ACTUAL</c:v>
                </c:pt>
              </c:strCache>
            </c:strRef>
          </c:tx>
          <c:spPr>
            <a:ln w="57150" cap="rnd">
              <a:solidFill>
                <a:srgbClr val="2D8F78"/>
              </a:solidFill>
              <a:round/>
            </a:ln>
            <a:effectLst/>
          </c:spPr>
          <c:marker>
            <c:symbol val="star"/>
            <c:size val="29"/>
            <c:spPr>
              <a:solidFill>
                <a:srgbClr val="2D8F78"/>
              </a:solidFill>
              <a:ln w="57150">
                <a:solidFill>
                  <a:srgbClr val="2D8F7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Vale Sans" panose="020B0503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AFI''s wkly'!$C$5:$G$5</c:f>
              <c:strCache>
                <c:ptCount val="5"/>
                <c:pt idx="0">
                  <c:v>wk1 (Jan)</c:v>
                </c:pt>
                <c:pt idx="1">
                  <c:v>wk30 (Jul)</c:v>
                </c:pt>
                <c:pt idx="2">
                  <c:v>wk42</c:v>
                </c:pt>
                <c:pt idx="3">
                  <c:v>wk43</c:v>
                </c:pt>
                <c:pt idx="4">
                  <c:v>wk44</c:v>
                </c:pt>
              </c:strCache>
            </c:strRef>
          </c:cat>
          <c:val>
            <c:numRef>
              <c:f>'2025 Plan AFI''s wkly'!$C$12:$G$12</c:f>
              <c:numCache>
                <c:formatCode>0</c:formatCode>
                <c:ptCount val="5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D4-4D48-8E91-6F3095C8F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Vale Sans" panose="020B0503020204030204" pitchFamily="34" charset="0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  <c:max val="0.5"/>
        </c:scaling>
        <c:delete val="1"/>
        <c:axPos val="l"/>
        <c:numFmt formatCode="0" sourceLinked="1"/>
        <c:majorTickMark val="out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6178399760254287"/>
          <c:y val="0.82867782423011627"/>
          <c:w val="0.27281077995753056"/>
          <c:h val="0.14421057326514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ale Sans" panose="020B0503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5F8FF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Vale Sans" panose="020B0503020204030204" pitchFamily="34" charset="0"/>
                <a:ea typeface="+mn-ea"/>
                <a:cs typeface="+mn-cs"/>
              </a:defRPr>
            </a:pPr>
            <a:r>
              <a:rPr lang="en-US" sz="1800" b="1" baseline="0">
                <a:latin typeface="Vale Sans" panose="020B0503020204030204" pitchFamily="34" charset="0"/>
              </a:rPr>
              <a:t>CONVERTER</a:t>
            </a:r>
          </a:p>
          <a:p>
            <a:pPr>
              <a:defRPr sz="1800">
                <a:latin typeface="Vale Sans" panose="020B0503020204030204" pitchFamily="34" charset="0"/>
              </a:defRPr>
            </a:pPr>
            <a:r>
              <a:rPr lang="en-US" sz="1800" b="0" baseline="0">
                <a:latin typeface="Vale Sans" panose="020B0503020204030204" pitchFamily="34" charset="0"/>
              </a:rPr>
              <a:t>AFI's (Weekly)</a:t>
            </a:r>
            <a:endParaRPr lang="en-US" sz="1800" b="0">
              <a:latin typeface="Vale Sans" panose="020B0503020204030204" pitchFamily="34" charset="0"/>
            </a:endParaRPr>
          </a:p>
        </c:rich>
      </c:tx>
      <c:layout>
        <c:manualLayout>
          <c:xMode val="edge"/>
          <c:yMode val="edge"/>
          <c:x val="0.4190677773255253"/>
          <c:y val="1.59864713050660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Vale Sans" panose="020B0503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646053160744545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'2025 Plan AFI''s wkly'!$A$9:$B$9</c:f>
              <c:strCache>
                <c:ptCount val="2"/>
                <c:pt idx="0">
                  <c:v>PLAN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6495117445236209E-3"/>
                  <c:y val="-3.8888888888888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36D-42BC-AD5A-D39CEB7C22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Vale Sans" panose="020B0503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AFI''s wkly'!$C$5:$G$5</c:f>
              <c:strCache>
                <c:ptCount val="5"/>
                <c:pt idx="0">
                  <c:v>wk1 (Jan)</c:v>
                </c:pt>
                <c:pt idx="1">
                  <c:v>wk30 (Jul)</c:v>
                </c:pt>
                <c:pt idx="2">
                  <c:v>wk42</c:v>
                </c:pt>
                <c:pt idx="3">
                  <c:v>wk43</c:v>
                </c:pt>
                <c:pt idx="4">
                  <c:v>wk44</c:v>
                </c:pt>
              </c:strCache>
            </c:strRef>
          </c:cat>
          <c:val>
            <c:numRef>
              <c:f>'2025 Plan AFI''s wkly'!$C$9:$G$9</c:f>
              <c:numCache>
                <c:formatCode>0</c:formatCode>
                <c:ptCount val="5"/>
                <c:pt idx="0">
                  <c:v>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BE-441F-8B1C-4F88EDCCE98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50571840"/>
        <c:axId val="95056716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'2025 Plan AFI''s wkly'!$A$7:$B$7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bg1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2000" b="1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Vale Sans" panose="020B050302020403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'2025 Plan AFI''s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AFI''s wkly'!$C$7:$G$7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200</c:v>
                      </c:pt>
                      <c:pt idx="1">
                        <c:v>50</c:v>
                      </c:pt>
                      <c:pt idx="2">
                        <c:v>10</c:v>
                      </c:pt>
                      <c:pt idx="3">
                        <c:v>0.01</c:v>
                      </c:pt>
                      <c:pt idx="4">
                        <c:v>0.01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F3BE-441F-8B1C-4F88EDCCE980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wkly'!$A$8:$B$8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bg1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Lbl>
                    <c:idx val="0"/>
                    <c:layout>
                      <c:manualLayout>
                        <c:x val="0"/>
                        <c:y val="-2.3385299301141686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F1C8-4E87-8778-7165A0644BB1}"/>
                      </c:ext>
                    </c:extLst>
                  </c:dLbl>
                  <c:dLbl>
                    <c:idx val="1"/>
                    <c:layout>
                      <c:manualLayout>
                        <c:x val="0"/>
                        <c:y val="-2.3385299301141686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F1C8-4E87-8778-7165A0644BB1}"/>
                      </c:ext>
                    </c:extLst>
                  </c:dLbl>
                  <c:dLbl>
                    <c:idx val="2"/>
                    <c:layout>
                      <c:manualLayout>
                        <c:x val="-1.6649008230378225E-3"/>
                        <c:y val="-2.5983665890157524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2-F1C8-4E87-8778-7165A0644BB1}"/>
                      </c:ext>
                    </c:extLst>
                  </c:dLbl>
                  <c:dLbl>
                    <c:idx val="3"/>
                    <c:layout>
                      <c:manualLayout>
                        <c:x val="0"/>
                        <c:y val="-2.5983665890157524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3-F1C8-4E87-8778-7165A0644BB1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2000" b="1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Vale Sans" panose="020B050302020403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wkly'!$C$8:$G$8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0.01</c:v>
                      </c:pt>
                      <c:pt idx="1">
                        <c:v>0.01</c:v>
                      </c:pt>
                      <c:pt idx="2">
                        <c:v>0.01</c:v>
                      </c:pt>
                      <c:pt idx="3">
                        <c:v>0.01</c:v>
                      </c:pt>
                      <c:pt idx="4">
                        <c:v>0.01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3BE-441F-8B1C-4F88EDCCE98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wkly'!$A$9:$B$9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wkly'!$C$9:$G$9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5</c:v>
                      </c:pt>
                      <c:pt idx="1">
                        <c:v>0.15</c:v>
                      </c:pt>
                      <c:pt idx="2">
                        <c:v>0.15</c:v>
                      </c:pt>
                      <c:pt idx="3">
                        <c:v>0.15</c:v>
                      </c:pt>
                      <c:pt idx="4">
                        <c:v>0.15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3BE-441F-8B1C-4F88EDCCE980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wkly'!$A$11:$B$11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 w="57150">
                    <a:solidFill>
                      <a:srgbClr val="2D8F78"/>
                    </a:solidFill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2000" b="1" i="0" u="none" strike="noStrike" kern="1200" baseline="0">
                          <a:solidFill>
                            <a:schemeClr val="bg1"/>
                          </a:solidFill>
                          <a:latin typeface="Vale Sans" panose="020B050302020403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wkly'!$C$11:$G$11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200</c:v>
                      </c:pt>
                      <c:pt idx="1">
                        <c:v>57</c:v>
                      </c:pt>
                      <c:pt idx="2">
                        <c:v>3</c:v>
                      </c:pt>
                      <c:pt idx="3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3BE-441F-8B1C-4F88EDCCE980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wkly'!$A$12:$B$12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 w="57150">
                    <a:solidFill>
                      <a:srgbClr val="2D8F78"/>
                    </a:solidFill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2000" b="1" i="0" u="none" strike="noStrike" kern="1200" baseline="0">
                          <a:solidFill>
                            <a:schemeClr val="bg1"/>
                          </a:solidFill>
                          <a:latin typeface="Vale Sans" panose="020B050302020403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wkly'!$C$12:$G$12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0.01</c:v>
                      </c:pt>
                      <c:pt idx="1">
                        <c:v>0.01</c:v>
                      </c:pt>
                      <c:pt idx="2">
                        <c:v>0.01</c:v>
                      </c:pt>
                      <c:pt idx="3">
                        <c:v>0.01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3BE-441F-8B1C-4F88EDCCE980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wkly'!$A$13:$B$13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wkly'!$C$5:$G$5</c15:sqref>
                        </c15:formulaRef>
                      </c:ext>
                    </c:extLst>
                    <c:strCache>
                      <c:ptCount val="5"/>
                      <c:pt idx="0">
                        <c:v>wk1 (Jan)</c:v>
                      </c:pt>
                      <c:pt idx="1">
                        <c:v>wk30 (Jul)</c:v>
                      </c:pt>
                      <c:pt idx="2">
                        <c:v>wk42</c:v>
                      </c:pt>
                      <c:pt idx="3">
                        <c:v>wk43</c:v>
                      </c:pt>
                      <c:pt idx="4">
                        <c:v>wk44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 wkly'!$C$13:$G$13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5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F3BE-441F-8B1C-4F88EDCCE980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'2025 Plan AFI''s wkly'!$A$13:$B$13</c:f>
              <c:strCache>
                <c:ptCount val="2"/>
                <c:pt idx="0">
                  <c:v>ACTUAL</c:v>
                </c:pt>
              </c:strCache>
            </c:strRef>
          </c:tx>
          <c:spPr>
            <a:ln w="57150" cap="rnd">
              <a:solidFill>
                <a:srgbClr val="2D8F78"/>
              </a:solidFill>
              <a:round/>
            </a:ln>
            <a:effectLst/>
          </c:spPr>
          <c:marker>
            <c:symbol val="star"/>
            <c:size val="29"/>
            <c:spPr>
              <a:solidFill>
                <a:srgbClr val="2D8F78"/>
              </a:solidFill>
              <a:ln w="57150">
                <a:solidFill>
                  <a:srgbClr val="2D8F7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Vale Sans" panose="020B0503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AFI''s wkly'!$C$5:$G$5</c:f>
              <c:strCache>
                <c:ptCount val="5"/>
                <c:pt idx="0">
                  <c:v>wk1 (Jan)</c:v>
                </c:pt>
                <c:pt idx="1">
                  <c:v>wk30 (Jul)</c:v>
                </c:pt>
                <c:pt idx="2">
                  <c:v>wk42</c:v>
                </c:pt>
                <c:pt idx="3">
                  <c:v>wk43</c:v>
                </c:pt>
                <c:pt idx="4">
                  <c:v>wk44</c:v>
                </c:pt>
              </c:strCache>
            </c:strRef>
          </c:cat>
          <c:val>
            <c:numRef>
              <c:f>'2025 Plan AFI''s wkly'!$C$13:$G$13</c:f>
              <c:numCache>
                <c:formatCode>0</c:formatCode>
                <c:ptCount val="5"/>
                <c:pt idx="0">
                  <c:v>5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BE-441F-8B1C-4F88EDCCE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Vale Sans" panose="020B0503020204030204" pitchFamily="34" charset="0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  <c:max val="8"/>
        </c:scaling>
        <c:delete val="1"/>
        <c:axPos val="l"/>
        <c:numFmt formatCode="0" sourceLinked="1"/>
        <c:majorTickMark val="out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6178399760254287"/>
          <c:y val="0.82867782423011627"/>
          <c:w val="0.27281077995753056"/>
          <c:h val="0.14421057326514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ale Sans" panose="020B0503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5F8FF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baseline="0"/>
              <a:t>KILN - CTS</a:t>
            </a:r>
          </a:p>
          <a:p>
            <a:pPr>
              <a:defRPr sz="1800"/>
            </a:pPr>
            <a:r>
              <a:rPr lang="en-US" sz="2000" b="0" baseline="0"/>
              <a:t>AFI's (Monthly)</a:t>
            </a:r>
            <a:endParaRPr lang="en-US" sz="2000" b="0"/>
          </a:p>
        </c:rich>
      </c:tx>
      <c:layout>
        <c:manualLayout>
          <c:xMode val="edge"/>
          <c:yMode val="edge"/>
          <c:x val="0.42888722976314553"/>
          <c:y val="1.32390230246982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73122411781860597"/>
        </c:manualLayout>
      </c:layout>
      <c:lineChart>
        <c:grouping val="standard"/>
        <c:varyColors val="0"/>
        <c:ser>
          <c:idx val="0"/>
          <c:order val="0"/>
          <c:tx>
            <c:strRef>
              <c:f>'2025 Plan AFI''s'!$A$6:$B$6</c:f>
              <c:strCache>
                <c:ptCount val="2"/>
                <c:pt idx="0">
                  <c:v>PLAN</c:v>
                </c:pt>
              </c:strCache>
            </c:strRef>
          </c:tx>
          <c:spPr>
            <a:ln w="3810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29"/>
            <c:spPr>
              <a:solidFill>
                <a:schemeClr val="tx1">
                  <a:lumMod val="50000"/>
                  <a:lumOff val="50000"/>
                </a:schemeClr>
              </a:solidFill>
              <a:ln w="3810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9.5650515746136899E-4"/>
                  <c:y val="-4.08584784559999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049-42BB-A3B5-9EB7136728B9}"/>
                </c:ext>
              </c:extLst>
            </c:dLbl>
            <c:dLbl>
              <c:idx val="3"/>
              <c:layout>
                <c:manualLayout>
                  <c:x val="-2.2589948612182213E-2"/>
                  <c:y val="-4.085847845599997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78C-436C-8626-42855ECBA097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C78C-436C-8626-42855ECBA0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AFI''s'!$C$5:$N$5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 Plan AFI''s'!$C$6:$N$6</c:f>
              <c:numCache>
                <c:formatCode>0</c:formatCode>
                <c:ptCount val="12"/>
                <c:pt idx="0">
                  <c:v>496</c:v>
                </c:pt>
                <c:pt idx="1">
                  <c:v>446</c:v>
                </c:pt>
                <c:pt idx="2">
                  <c:v>396</c:v>
                </c:pt>
                <c:pt idx="3">
                  <c:v>346</c:v>
                </c:pt>
                <c:pt idx="4">
                  <c:v>296</c:v>
                </c:pt>
                <c:pt idx="5">
                  <c:v>246</c:v>
                </c:pt>
                <c:pt idx="6">
                  <c:v>196</c:v>
                </c:pt>
                <c:pt idx="7">
                  <c:v>146</c:v>
                </c:pt>
                <c:pt idx="8">
                  <c:v>96</c:v>
                </c:pt>
                <c:pt idx="9">
                  <c:v>46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D-4B01-BF5F-F5922EEE6CCB}"/>
            </c:ext>
          </c:extLst>
        </c:ser>
        <c:ser>
          <c:idx val="4"/>
          <c:order val="4"/>
          <c:tx>
            <c:strRef>
              <c:f>'2025 Plan AFI''s'!$A$10:$B$10</c:f>
              <c:strCache>
                <c:ptCount val="2"/>
                <c:pt idx="0">
                  <c:v>ACTUAL</c:v>
                </c:pt>
              </c:strCache>
            </c:strRef>
          </c:tx>
          <c:spPr>
            <a:ln w="38100" cap="rnd">
              <a:solidFill>
                <a:srgbClr val="2D8F78"/>
              </a:solidFill>
              <a:round/>
            </a:ln>
            <a:effectLst/>
          </c:spPr>
          <c:marker>
            <c:symbol val="circle"/>
            <c:size val="34"/>
            <c:spPr>
              <a:solidFill>
                <a:srgbClr val="2D8F78"/>
              </a:solidFill>
              <a:ln w="38100">
                <a:solidFill>
                  <a:srgbClr val="2D8F7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AFI''s'!$C$5:$N$5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 Plan AFI''s'!$C$10:$N$10</c:f>
              <c:numCache>
                <c:formatCode>0</c:formatCode>
                <c:ptCount val="12"/>
                <c:pt idx="0">
                  <c:v>496</c:v>
                </c:pt>
                <c:pt idx="1">
                  <c:v>432</c:v>
                </c:pt>
                <c:pt idx="2">
                  <c:v>355</c:v>
                </c:pt>
                <c:pt idx="3">
                  <c:v>325</c:v>
                </c:pt>
                <c:pt idx="4">
                  <c:v>149</c:v>
                </c:pt>
                <c:pt idx="5">
                  <c:v>143</c:v>
                </c:pt>
                <c:pt idx="6">
                  <c:v>113</c:v>
                </c:pt>
                <c:pt idx="7">
                  <c:v>97</c:v>
                </c:pt>
                <c:pt idx="8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8D-4B01-BF5F-F5922EEE6CC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'2025 Plan AFI''s'!$A$7:$B$7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AFI''s'!$C$7:$N$7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200</c:v>
                      </c:pt>
                      <c:pt idx="1">
                        <c:v>170</c:v>
                      </c:pt>
                      <c:pt idx="2">
                        <c:v>140</c:v>
                      </c:pt>
                      <c:pt idx="3">
                        <c:v>110</c:v>
                      </c:pt>
                      <c:pt idx="4">
                        <c:v>80</c:v>
                      </c:pt>
                      <c:pt idx="5">
                        <c:v>70</c:v>
                      </c:pt>
                      <c:pt idx="6">
                        <c:v>50</c:v>
                      </c:pt>
                      <c:pt idx="7">
                        <c:v>30</c:v>
                      </c:pt>
                      <c:pt idx="8">
                        <c:v>10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FE8D-4B01-BF5F-F5922EEE6CC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AFI''s'!$A$8:$B$8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AFI''s'!$C$8:$N$8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0.2</c:v>
                      </c:pt>
                      <c:pt idx="1">
                        <c:v>0.2</c:v>
                      </c:pt>
                      <c:pt idx="2">
                        <c:v>0.2</c:v>
                      </c:pt>
                      <c:pt idx="3">
                        <c:v>0.2</c:v>
                      </c:pt>
                      <c:pt idx="4">
                        <c:v>0.2</c:v>
                      </c:pt>
                      <c:pt idx="5">
                        <c:v>0.2</c:v>
                      </c:pt>
                      <c:pt idx="6">
                        <c:v>0.2</c:v>
                      </c:pt>
                      <c:pt idx="7">
                        <c:v>0.2</c:v>
                      </c:pt>
                      <c:pt idx="8">
                        <c:v>0.2</c:v>
                      </c:pt>
                      <c:pt idx="9">
                        <c:v>0.2</c:v>
                      </c:pt>
                      <c:pt idx="10">
                        <c:v>0.2</c:v>
                      </c:pt>
                      <c:pt idx="11">
                        <c:v>0.2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E8D-4B01-BF5F-F5922EEE6CC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AFI''s'!$A$9:$B$9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dLbl>
                    <c:idx val="4"/>
                    <c:layout>
                      <c:manualLayout>
                        <c:x val="-2.0246911294959619E-2"/>
                        <c:y val="-1.3231416683475725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4-FE8D-4B01-BF5F-F5922EEE6CCB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AFI''s'!$C$9:$N$9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5</c:v>
                      </c:pt>
                      <c:pt idx="1">
                        <c:v>5</c:v>
                      </c:pt>
                      <c:pt idx="2">
                        <c:v>3</c:v>
                      </c:pt>
                      <c:pt idx="3">
                        <c:v>0.3</c:v>
                      </c:pt>
                      <c:pt idx="4">
                        <c:v>0.3</c:v>
                      </c:pt>
                      <c:pt idx="5">
                        <c:v>0.3</c:v>
                      </c:pt>
                      <c:pt idx="6">
                        <c:v>0.3</c:v>
                      </c:pt>
                      <c:pt idx="7">
                        <c:v>0.3</c:v>
                      </c:pt>
                      <c:pt idx="8">
                        <c:v>0.3</c:v>
                      </c:pt>
                      <c:pt idx="9">
                        <c:v>0.3</c:v>
                      </c:pt>
                      <c:pt idx="10">
                        <c:v>0.3</c:v>
                      </c:pt>
                      <c:pt idx="11">
                        <c:v>0.3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E8D-4B01-BF5F-F5922EEE6CC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AFI''s'!$A$11:$B$11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AFI''s'!$C$11:$N$11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200</c:v>
                      </c:pt>
                      <c:pt idx="1">
                        <c:v>149</c:v>
                      </c:pt>
                      <c:pt idx="2">
                        <c:v>149</c:v>
                      </c:pt>
                      <c:pt idx="3">
                        <c:v>149</c:v>
                      </c:pt>
                      <c:pt idx="4">
                        <c:v>112</c:v>
                      </c:pt>
                      <c:pt idx="5">
                        <c:v>80</c:v>
                      </c:pt>
                      <c:pt idx="6">
                        <c:v>57</c:v>
                      </c:pt>
                      <c:pt idx="7">
                        <c:v>19</c:v>
                      </c:pt>
                      <c:pt idx="8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E8D-4B01-BF5F-F5922EEE6CCB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AFI''s'!$A$12:$B$12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AFI''s'!$C$12:$N$12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0.1</c:v>
                      </c:pt>
                      <c:pt idx="1">
                        <c:v>0.1</c:v>
                      </c:pt>
                      <c:pt idx="2">
                        <c:v>0.1</c:v>
                      </c:pt>
                      <c:pt idx="3">
                        <c:v>0.1</c:v>
                      </c:pt>
                      <c:pt idx="4">
                        <c:v>0.1</c:v>
                      </c:pt>
                      <c:pt idx="5">
                        <c:v>0.1</c:v>
                      </c:pt>
                      <c:pt idx="6">
                        <c:v>0.1</c:v>
                      </c:pt>
                      <c:pt idx="7">
                        <c:v>0.1</c:v>
                      </c:pt>
                      <c:pt idx="8">
                        <c:v>0.1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E8D-4B01-BF5F-F5922EEE6CCB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AFI''s'!$A$13:$B$13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AFI''s'!$C$13:$N$13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5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E8D-4B01-BF5F-F5922EEE6CCB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baseline="0"/>
              <a:t>DRYER - COALMILL</a:t>
            </a:r>
          </a:p>
          <a:p>
            <a:pPr>
              <a:defRPr/>
            </a:pPr>
            <a:r>
              <a:rPr lang="en-US" sz="2000" b="0" baseline="0"/>
              <a:t>AFI's (Monthly)</a:t>
            </a:r>
            <a:endParaRPr lang="en-US" sz="2000" b="0"/>
          </a:p>
        </c:rich>
      </c:tx>
      <c:layout>
        <c:manualLayout>
          <c:xMode val="edge"/>
          <c:yMode val="edge"/>
          <c:x val="0.43802176504986162"/>
          <c:y val="1.57881425844485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73122411781860597"/>
        </c:manualLayout>
      </c:layout>
      <c:lineChart>
        <c:grouping val="standard"/>
        <c:varyColors val="0"/>
        <c:ser>
          <c:idx val="1"/>
          <c:order val="1"/>
          <c:tx>
            <c:strRef>
              <c:f>'2025 Plan AFI''s'!$A$7:$B$7</c:f>
              <c:strCache>
                <c:ptCount val="2"/>
                <c:pt idx="0">
                  <c:v>PLAN</c:v>
                </c:pt>
              </c:strCache>
            </c:strRef>
          </c:tx>
          <c:spPr>
            <a:ln w="3810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31"/>
            <c:spPr>
              <a:solidFill>
                <a:schemeClr val="tx1">
                  <a:lumMod val="50000"/>
                  <a:lumOff val="50000"/>
                </a:schemeClr>
              </a:solidFill>
              <a:ln w="3810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AFI''s'!$C$5:$N$5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 Plan AFI''s'!$C$7:$N$7</c:f>
              <c:numCache>
                <c:formatCode>0</c:formatCode>
                <c:ptCount val="12"/>
                <c:pt idx="0">
                  <c:v>200</c:v>
                </c:pt>
                <c:pt idx="1">
                  <c:v>170</c:v>
                </c:pt>
                <c:pt idx="2">
                  <c:v>140</c:v>
                </c:pt>
                <c:pt idx="3">
                  <c:v>110</c:v>
                </c:pt>
                <c:pt idx="4">
                  <c:v>80</c:v>
                </c:pt>
                <c:pt idx="5">
                  <c:v>70</c:v>
                </c:pt>
                <c:pt idx="6">
                  <c:v>50</c:v>
                </c:pt>
                <c:pt idx="7">
                  <c:v>30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393-4F4B-9F70-53F48018C3BC}"/>
            </c:ext>
          </c:extLst>
        </c:ser>
        <c:ser>
          <c:idx val="5"/>
          <c:order val="5"/>
          <c:tx>
            <c:strRef>
              <c:f>'2025 Plan AFI''s'!$A$11:$B$11</c:f>
              <c:strCache>
                <c:ptCount val="2"/>
                <c:pt idx="0">
                  <c:v>ACTUAL</c:v>
                </c:pt>
              </c:strCache>
            </c:strRef>
          </c:tx>
          <c:spPr>
            <a:ln w="38100" cap="rnd">
              <a:solidFill>
                <a:srgbClr val="2D8F78"/>
              </a:solidFill>
              <a:round/>
            </a:ln>
            <a:effectLst/>
          </c:spPr>
          <c:marker>
            <c:symbol val="circle"/>
            <c:size val="31"/>
            <c:spPr>
              <a:solidFill>
                <a:srgbClr val="2D8F78"/>
              </a:solidFill>
              <a:ln w="38100">
                <a:solidFill>
                  <a:srgbClr val="2D8F7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AFI''s'!$C$5:$N$5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 Plan AFI''s'!$C$11:$N$11</c:f>
              <c:numCache>
                <c:formatCode>0</c:formatCode>
                <c:ptCount val="12"/>
                <c:pt idx="0">
                  <c:v>200</c:v>
                </c:pt>
                <c:pt idx="1">
                  <c:v>149</c:v>
                </c:pt>
                <c:pt idx="2">
                  <c:v>149</c:v>
                </c:pt>
                <c:pt idx="3">
                  <c:v>149</c:v>
                </c:pt>
                <c:pt idx="4">
                  <c:v>112</c:v>
                </c:pt>
                <c:pt idx="5">
                  <c:v>80</c:v>
                </c:pt>
                <c:pt idx="6">
                  <c:v>57</c:v>
                </c:pt>
                <c:pt idx="7">
                  <c:v>19</c:v>
                </c:pt>
                <c:pt idx="8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93-4F4B-9F70-53F48018C3B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'2025 Plan AFI''s'!$A$6:$B$6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bg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bg1">
                        <a:lumMod val="50000"/>
                      </a:schemeClr>
                    </a:solidFill>
                    <a:ln w="9525">
                      <a:solidFill>
                        <a:schemeClr val="bg1">
                          <a:lumMod val="5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5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AFI''s'!$C$6:$N$6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496</c:v>
                      </c:pt>
                      <c:pt idx="1">
                        <c:v>446</c:v>
                      </c:pt>
                      <c:pt idx="2">
                        <c:v>396</c:v>
                      </c:pt>
                      <c:pt idx="3">
                        <c:v>346</c:v>
                      </c:pt>
                      <c:pt idx="4">
                        <c:v>296</c:v>
                      </c:pt>
                      <c:pt idx="5">
                        <c:v>246</c:v>
                      </c:pt>
                      <c:pt idx="6">
                        <c:v>196</c:v>
                      </c:pt>
                      <c:pt idx="7">
                        <c:v>146</c:v>
                      </c:pt>
                      <c:pt idx="8">
                        <c:v>96</c:v>
                      </c:pt>
                      <c:pt idx="9">
                        <c:v>46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8393-4F4B-9F70-53F48018C3BC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AFI''s'!$A$8:$B$8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AFI''s'!$C$8:$N$8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0.2</c:v>
                      </c:pt>
                      <c:pt idx="1">
                        <c:v>0.2</c:v>
                      </c:pt>
                      <c:pt idx="2">
                        <c:v>0.2</c:v>
                      </c:pt>
                      <c:pt idx="3">
                        <c:v>0.2</c:v>
                      </c:pt>
                      <c:pt idx="4">
                        <c:v>0.2</c:v>
                      </c:pt>
                      <c:pt idx="5">
                        <c:v>0.2</c:v>
                      </c:pt>
                      <c:pt idx="6">
                        <c:v>0.2</c:v>
                      </c:pt>
                      <c:pt idx="7">
                        <c:v>0.2</c:v>
                      </c:pt>
                      <c:pt idx="8">
                        <c:v>0.2</c:v>
                      </c:pt>
                      <c:pt idx="9">
                        <c:v>0.2</c:v>
                      </c:pt>
                      <c:pt idx="10">
                        <c:v>0.2</c:v>
                      </c:pt>
                      <c:pt idx="11">
                        <c:v>0.2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393-4F4B-9F70-53F48018C3B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AFI''s'!$A$9:$B$9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dLbl>
                    <c:idx val="4"/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4-8393-4F4B-9F70-53F48018C3BC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AFI''s'!$C$9:$N$9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5</c:v>
                      </c:pt>
                      <c:pt idx="1">
                        <c:v>5</c:v>
                      </c:pt>
                      <c:pt idx="2">
                        <c:v>3</c:v>
                      </c:pt>
                      <c:pt idx="3">
                        <c:v>0.3</c:v>
                      </c:pt>
                      <c:pt idx="4">
                        <c:v>0.3</c:v>
                      </c:pt>
                      <c:pt idx="5">
                        <c:v>0.3</c:v>
                      </c:pt>
                      <c:pt idx="6">
                        <c:v>0.3</c:v>
                      </c:pt>
                      <c:pt idx="7">
                        <c:v>0.3</c:v>
                      </c:pt>
                      <c:pt idx="8">
                        <c:v>0.3</c:v>
                      </c:pt>
                      <c:pt idx="9">
                        <c:v>0.3</c:v>
                      </c:pt>
                      <c:pt idx="10">
                        <c:v>0.3</c:v>
                      </c:pt>
                      <c:pt idx="11">
                        <c:v>0.3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393-4F4B-9F70-53F48018C3B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AFI''s'!$A$10:$B$10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5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AFI''s'!$C$10:$N$10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496</c:v>
                      </c:pt>
                      <c:pt idx="1">
                        <c:v>432</c:v>
                      </c:pt>
                      <c:pt idx="2">
                        <c:v>355</c:v>
                      </c:pt>
                      <c:pt idx="3">
                        <c:v>325</c:v>
                      </c:pt>
                      <c:pt idx="4">
                        <c:v>149</c:v>
                      </c:pt>
                      <c:pt idx="5">
                        <c:v>143</c:v>
                      </c:pt>
                      <c:pt idx="6">
                        <c:v>113</c:v>
                      </c:pt>
                      <c:pt idx="7">
                        <c:v>97</c:v>
                      </c:pt>
                      <c:pt idx="8">
                        <c:v>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393-4F4B-9F70-53F48018C3B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AFI''s'!$A$12:$B$12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AFI''s'!$C$12:$N$12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0.1</c:v>
                      </c:pt>
                      <c:pt idx="1">
                        <c:v>0.1</c:v>
                      </c:pt>
                      <c:pt idx="2">
                        <c:v>0.1</c:v>
                      </c:pt>
                      <c:pt idx="3">
                        <c:v>0.1</c:v>
                      </c:pt>
                      <c:pt idx="4">
                        <c:v>0.1</c:v>
                      </c:pt>
                      <c:pt idx="5">
                        <c:v>0.1</c:v>
                      </c:pt>
                      <c:pt idx="6">
                        <c:v>0.1</c:v>
                      </c:pt>
                      <c:pt idx="7">
                        <c:v>0.1</c:v>
                      </c:pt>
                      <c:pt idx="8">
                        <c:v>0.1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393-4F4B-9F70-53F48018C3B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AFI''s'!$A$13:$B$13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AFI''s'!$C$13:$N$13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5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393-4F4B-9F70-53F48018C3BC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baseline="0"/>
              <a:t>FURNACE</a:t>
            </a:r>
          </a:p>
          <a:p>
            <a:pPr>
              <a:defRPr sz="1800"/>
            </a:pPr>
            <a:r>
              <a:rPr lang="en-US" sz="2000" b="0" baseline="0"/>
              <a:t>AFI's (Monthly)</a:t>
            </a:r>
            <a:endParaRPr lang="en-US" sz="2000" b="0"/>
          </a:p>
        </c:rich>
      </c:tx>
      <c:layout>
        <c:manualLayout>
          <c:xMode val="edge"/>
          <c:yMode val="edge"/>
          <c:x val="0.42878071085517805"/>
          <c:y val="1.84049016551554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4679861621331674E-2"/>
          <c:y val="0.19198983297488326"/>
          <c:w val="0.94873414598263961"/>
          <c:h val="0.73122411781860597"/>
        </c:manualLayout>
      </c:layout>
      <c:lineChart>
        <c:grouping val="standard"/>
        <c:varyColors val="0"/>
        <c:ser>
          <c:idx val="2"/>
          <c:order val="2"/>
          <c:tx>
            <c:strRef>
              <c:f>'2025 Plan AFI''s'!$A$8:$B$8</c:f>
              <c:strCache>
                <c:ptCount val="2"/>
                <c:pt idx="0">
                  <c:v>PLAN</c:v>
                </c:pt>
              </c:strCache>
            </c:strRef>
          </c:tx>
          <c:spPr>
            <a:ln w="3810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30"/>
            <c:spPr>
              <a:solidFill>
                <a:schemeClr val="tx1">
                  <a:lumMod val="50000"/>
                  <a:lumOff val="50000"/>
                </a:schemeClr>
              </a:solidFill>
              <a:ln w="3810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AFI''s'!$C$5:$N$5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 Plan AFI''s'!$C$8:$N$8</c:f>
              <c:numCache>
                <c:formatCode>0</c:formatCode>
                <c:ptCount val="12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119B-431D-AD69-05DBFD43C0E8}"/>
            </c:ext>
          </c:extLst>
        </c:ser>
        <c:ser>
          <c:idx val="6"/>
          <c:order val="6"/>
          <c:tx>
            <c:strRef>
              <c:f>'2025 Plan AFI''s'!$A$12:$B$12</c:f>
              <c:strCache>
                <c:ptCount val="2"/>
                <c:pt idx="0">
                  <c:v>ACTUAL</c:v>
                </c:pt>
              </c:strCache>
            </c:strRef>
          </c:tx>
          <c:spPr>
            <a:ln w="38100" cap="rnd">
              <a:solidFill>
                <a:srgbClr val="2D8F78"/>
              </a:solidFill>
              <a:round/>
            </a:ln>
            <a:effectLst/>
          </c:spPr>
          <c:marker>
            <c:symbol val="circle"/>
            <c:size val="30"/>
            <c:spPr>
              <a:solidFill>
                <a:srgbClr val="2D8F78"/>
              </a:solidFill>
              <a:ln w="38100">
                <a:solidFill>
                  <a:srgbClr val="2D8F7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AFI''s'!$C$5:$N$5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 Plan AFI''s'!$C$12:$N$12</c:f>
              <c:numCache>
                <c:formatCode>0</c:formatCode>
                <c:ptCount val="12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9B-431D-AD69-05DBFD43C0E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'2025 Plan AFI''s'!$A$6:$B$6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bg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bg1">
                        <a:lumMod val="50000"/>
                      </a:schemeClr>
                    </a:solidFill>
                    <a:ln w="9525">
                      <a:solidFill>
                        <a:schemeClr val="bg1">
                          <a:lumMod val="5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5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AFI''s'!$C$6:$N$6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496</c:v>
                      </c:pt>
                      <c:pt idx="1">
                        <c:v>446</c:v>
                      </c:pt>
                      <c:pt idx="2">
                        <c:v>396</c:v>
                      </c:pt>
                      <c:pt idx="3">
                        <c:v>346</c:v>
                      </c:pt>
                      <c:pt idx="4">
                        <c:v>296</c:v>
                      </c:pt>
                      <c:pt idx="5">
                        <c:v>246</c:v>
                      </c:pt>
                      <c:pt idx="6">
                        <c:v>196</c:v>
                      </c:pt>
                      <c:pt idx="7">
                        <c:v>146</c:v>
                      </c:pt>
                      <c:pt idx="8">
                        <c:v>96</c:v>
                      </c:pt>
                      <c:pt idx="9">
                        <c:v>46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19B-431D-AD69-05DBFD43C0E8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AFI''s'!$A$7:$B$7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AFI''s'!$C$7:$N$7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200</c:v>
                      </c:pt>
                      <c:pt idx="1">
                        <c:v>170</c:v>
                      </c:pt>
                      <c:pt idx="2">
                        <c:v>140</c:v>
                      </c:pt>
                      <c:pt idx="3">
                        <c:v>110</c:v>
                      </c:pt>
                      <c:pt idx="4">
                        <c:v>80</c:v>
                      </c:pt>
                      <c:pt idx="5">
                        <c:v>70</c:v>
                      </c:pt>
                      <c:pt idx="6">
                        <c:v>50</c:v>
                      </c:pt>
                      <c:pt idx="7">
                        <c:v>30</c:v>
                      </c:pt>
                      <c:pt idx="8">
                        <c:v>10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19B-431D-AD69-05DBFD43C0E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AFI''s'!$A$9:$B$9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dLbl>
                    <c:idx val="4"/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4-119B-431D-AD69-05DBFD43C0E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AFI''s'!$C$9:$N$9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5</c:v>
                      </c:pt>
                      <c:pt idx="1">
                        <c:v>5</c:v>
                      </c:pt>
                      <c:pt idx="2">
                        <c:v>3</c:v>
                      </c:pt>
                      <c:pt idx="3">
                        <c:v>0.3</c:v>
                      </c:pt>
                      <c:pt idx="4">
                        <c:v>0.3</c:v>
                      </c:pt>
                      <c:pt idx="5">
                        <c:v>0.3</c:v>
                      </c:pt>
                      <c:pt idx="6">
                        <c:v>0.3</c:v>
                      </c:pt>
                      <c:pt idx="7">
                        <c:v>0.3</c:v>
                      </c:pt>
                      <c:pt idx="8">
                        <c:v>0.3</c:v>
                      </c:pt>
                      <c:pt idx="9">
                        <c:v>0.3</c:v>
                      </c:pt>
                      <c:pt idx="10">
                        <c:v>0.3</c:v>
                      </c:pt>
                      <c:pt idx="11">
                        <c:v>0.3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19B-431D-AD69-05DBFD43C0E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AFI''s'!$A$10:$B$10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5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AFI''s'!$C$10:$N$10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496</c:v>
                      </c:pt>
                      <c:pt idx="1">
                        <c:v>432</c:v>
                      </c:pt>
                      <c:pt idx="2">
                        <c:v>355</c:v>
                      </c:pt>
                      <c:pt idx="3">
                        <c:v>325</c:v>
                      </c:pt>
                      <c:pt idx="4">
                        <c:v>149</c:v>
                      </c:pt>
                      <c:pt idx="5">
                        <c:v>143</c:v>
                      </c:pt>
                      <c:pt idx="6">
                        <c:v>113</c:v>
                      </c:pt>
                      <c:pt idx="7">
                        <c:v>97</c:v>
                      </c:pt>
                      <c:pt idx="8">
                        <c:v>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19B-431D-AD69-05DBFD43C0E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AFI''s'!$A$11:$B$11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AFI''s'!$C$11:$N$11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200</c:v>
                      </c:pt>
                      <c:pt idx="1">
                        <c:v>149</c:v>
                      </c:pt>
                      <c:pt idx="2">
                        <c:v>149</c:v>
                      </c:pt>
                      <c:pt idx="3">
                        <c:v>149</c:v>
                      </c:pt>
                      <c:pt idx="4">
                        <c:v>112</c:v>
                      </c:pt>
                      <c:pt idx="5">
                        <c:v>80</c:v>
                      </c:pt>
                      <c:pt idx="6">
                        <c:v>57</c:v>
                      </c:pt>
                      <c:pt idx="7">
                        <c:v>19</c:v>
                      </c:pt>
                      <c:pt idx="8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19B-431D-AD69-05DBFD43C0E8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AFI''s'!$A$13:$B$13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AFI''s'!$C$13:$N$13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5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119B-431D-AD69-05DBFD43C0E8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baseline="0"/>
              <a:t>CONVERTER</a:t>
            </a:r>
          </a:p>
          <a:p>
            <a:pPr>
              <a:defRPr/>
            </a:pPr>
            <a:r>
              <a:rPr lang="en-US" sz="2000" b="0" baseline="0"/>
              <a:t>AFI's (Monthly)</a:t>
            </a:r>
            <a:endParaRPr lang="en-US" sz="2000" b="0"/>
          </a:p>
        </c:rich>
      </c:tx>
      <c:layout>
        <c:manualLayout>
          <c:xMode val="edge"/>
          <c:yMode val="edge"/>
          <c:x val="0.44034175915277723"/>
          <c:y val="1.84076006428470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73122411781860597"/>
        </c:manualLayout>
      </c:layout>
      <c:lineChart>
        <c:grouping val="standard"/>
        <c:varyColors val="0"/>
        <c:ser>
          <c:idx val="3"/>
          <c:order val="3"/>
          <c:tx>
            <c:strRef>
              <c:f>'2025 Plan AFI''s'!$A$9:$B$9</c:f>
              <c:strCache>
                <c:ptCount val="2"/>
                <c:pt idx="0">
                  <c:v>PLAN</c:v>
                </c:pt>
              </c:strCache>
            </c:strRef>
          </c:tx>
          <c:spPr>
            <a:ln w="3810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30"/>
            <c:spPr>
              <a:solidFill>
                <a:schemeClr val="tx1">
                  <a:lumMod val="50000"/>
                  <a:lumOff val="50000"/>
                </a:schemeClr>
              </a:solidFill>
              <a:ln w="3810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AFI''s'!$C$5:$N$5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 Plan AFI''s'!$C$9:$N$9</c:f>
              <c:numCache>
                <c:formatCode>0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6499-4677-9127-37D971858839}"/>
            </c:ext>
          </c:extLst>
        </c:ser>
        <c:ser>
          <c:idx val="7"/>
          <c:order val="7"/>
          <c:tx>
            <c:strRef>
              <c:f>'2025 Plan AFI''s'!$A$13:$B$13</c:f>
              <c:strCache>
                <c:ptCount val="2"/>
                <c:pt idx="0">
                  <c:v>ACTUAL</c:v>
                </c:pt>
              </c:strCache>
            </c:strRef>
          </c:tx>
          <c:spPr>
            <a:ln w="38100" cap="rnd">
              <a:solidFill>
                <a:srgbClr val="2D8F78"/>
              </a:solidFill>
              <a:round/>
            </a:ln>
            <a:effectLst/>
          </c:spPr>
          <c:marker>
            <c:symbol val="circle"/>
            <c:size val="30"/>
            <c:spPr>
              <a:solidFill>
                <a:srgbClr val="2D8F78"/>
              </a:solidFill>
              <a:ln w="38100">
                <a:solidFill>
                  <a:srgbClr val="2D8F7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AFI''s'!$C$5:$N$5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 Plan AFI''s'!$C$13:$N$13</c:f>
              <c:numCache>
                <c:formatCode>0</c:formatCode>
                <c:ptCount val="12"/>
                <c:pt idx="0">
                  <c:v>5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99-4677-9127-37D97185883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'2025 Plan AFI''s'!$A$6:$B$6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bg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bg1">
                        <a:lumMod val="50000"/>
                      </a:schemeClr>
                    </a:solidFill>
                    <a:ln w="9525">
                      <a:solidFill>
                        <a:schemeClr val="bg1">
                          <a:lumMod val="5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5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AFI''s'!$C$6:$N$6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496</c:v>
                      </c:pt>
                      <c:pt idx="1">
                        <c:v>446</c:v>
                      </c:pt>
                      <c:pt idx="2">
                        <c:v>396</c:v>
                      </c:pt>
                      <c:pt idx="3">
                        <c:v>346</c:v>
                      </c:pt>
                      <c:pt idx="4">
                        <c:v>296</c:v>
                      </c:pt>
                      <c:pt idx="5">
                        <c:v>246</c:v>
                      </c:pt>
                      <c:pt idx="6">
                        <c:v>196</c:v>
                      </c:pt>
                      <c:pt idx="7">
                        <c:v>146</c:v>
                      </c:pt>
                      <c:pt idx="8">
                        <c:v>96</c:v>
                      </c:pt>
                      <c:pt idx="9">
                        <c:v>46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6499-4677-9127-37D97185883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AFI''s'!$A$7:$B$7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AFI''s'!$C$7:$N$7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200</c:v>
                      </c:pt>
                      <c:pt idx="1">
                        <c:v>170</c:v>
                      </c:pt>
                      <c:pt idx="2">
                        <c:v>140</c:v>
                      </c:pt>
                      <c:pt idx="3">
                        <c:v>110</c:v>
                      </c:pt>
                      <c:pt idx="4">
                        <c:v>80</c:v>
                      </c:pt>
                      <c:pt idx="5">
                        <c:v>70</c:v>
                      </c:pt>
                      <c:pt idx="6">
                        <c:v>50</c:v>
                      </c:pt>
                      <c:pt idx="7">
                        <c:v>30</c:v>
                      </c:pt>
                      <c:pt idx="8">
                        <c:v>10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99-4677-9127-37D97185883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AFI''s'!$A$8:$B$8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AFI''s'!$C$8:$N$8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0.2</c:v>
                      </c:pt>
                      <c:pt idx="1">
                        <c:v>0.2</c:v>
                      </c:pt>
                      <c:pt idx="2">
                        <c:v>0.2</c:v>
                      </c:pt>
                      <c:pt idx="3">
                        <c:v>0.2</c:v>
                      </c:pt>
                      <c:pt idx="4">
                        <c:v>0.2</c:v>
                      </c:pt>
                      <c:pt idx="5">
                        <c:v>0.2</c:v>
                      </c:pt>
                      <c:pt idx="6">
                        <c:v>0.2</c:v>
                      </c:pt>
                      <c:pt idx="7">
                        <c:v>0.2</c:v>
                      </c:pt>
                      <c:pt idx="8">
                        <c:v>0.2</c:v>
                      </c:pt>
                      <c:pt idx="9">
                        <c:v>0.2</c:v>
                      </c:pt>
                      <c:pt idx="10">
                        <c:v>0.2</c:v>
                      </c:pt>
                      <c:pt idx="11">
                        <c:v>0.2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99-4677-9127-37D97185883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AFI''s'!$A$10:$B$10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5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AFI''s'!$C$10:$N$10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496</c:v>
                      </c:pt>
                      <c:pt idx="1">
                        <c:v>432</c:v>
                      </c:pt>
                      <c:pt idx="2">
                        <c:v>355</c:v>
                      </c:pt>
                      <c:pt idx="3">
                        <c:v>325</c:v>
                      </c:pt>
                      <c:pt idx="4">
                        <c:v>149</c:v>
                      </c:pt>
                      <c:pt idx="5">
                        <c:v>143</c:v>
                      </c:pt>
                      <c:pt idx="6">
                        <c:v>113</c:v>
                      </c:pt>
                      <c:pt idx="7">
                        <c:v>97</c:v>
                      </c:pt>
                      <c:pt idx="8">
                        <c:v>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499-4677-9127-37D97185883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AFI''s'!$A$11:$B$11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AFI''s'!$C$11:$N$11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200</c:v>
                      </c:pt>
                      <c:pt idx="1">
                        <c:v>149</c:v>
                      </c:pt>
                      <c:pt idx="2">
                        <c:v>149</c:v>
                      </c:pt>
                      <c:pt idx="3">
                        <c:v>149</c:v>
                      </c:pt>
                      <c:pt idx="4">
                        <c:v>112</c:v>
                      </c:pt>
                      <c:pt idx="5">
                        <c:v>80</c:v>
                      </c:pt>
                      <c:pt idx="6">
                        <c:v>57</c:v>
                      </c:pt>
                      <c:pt idx="7">
                        <c:v>19</c:v>
                      </c:pt>
                      <c:pt idx="8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99-4677-9127-37D97185883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AFI''s'!$A$12:$B$12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AFI''s'!$C$12:$N$12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0.1</c:v>
                      </c:pt>
                      <c:pt idx="1">
                        <c:v>0.1</c:v>
                      </c:pt>
                      <c:pt idx="2">
                        <c:v>0.1</c:v>
                      </c:pt>
                      <c:pt idx="3">
                        <c:v>0.1</c:v>
                      </c:pt>
                      <c:pt idx="4">
                        <c:v>0.1</c:v>
                      </c:pt>
                      <c:pt idx="5">
                        <c:v>0.1</c:v>
                      </c:pt>
                      <c:pt idx="6">
                        <c:v>0.1</c:v>
                      </c:pt>
                      <c:pt idx="7">
                        <c:v>0.1</c:v>
                      </c:pt>
                      <c:pt idx="8">
                        <c:v>0.1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499-4677-9127-37D971858839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baseline="0"/>
              <a:t>KILN - CTS</a:t>
            </a:r>
          </a:p>
          <a:p>
            <a:pPr>
              <a:defRPr sz="1800"/>
            </a:pPr>
            <a:r>
              <a:rPr lang="en-US" sz="2000" b="0" baseline="0"/>
              <a:t>AFI's (Monthly)</a:t>
            </a:r>
            <a:endParaRPr lang="en-US" sz="2000" b="0"/>
          </a:p>
        </c:rich>
      </c:tx>
      <c:layout>
        <c:manualLayout>
          <c:xMode val="edge"/>
          <c:yMode val="edge"/>
          <c:x val="0.42888722976314553"/>
          <c:y val="1.32390230246982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73122411781860597"/>
        </c:manualLayout>
      </c:layout>
      <c:lineChart>
        <c:grouping val="standard"/>
        <c:varyColors val="0"/>
        <c:ser>
          <c:idx val="0"/>
          <c:order val="0"/>
          <c:tx>
            <c:strRef>
              <c:f>'2025 Plan AFI''s'!$A$6:$B$6</c:f>
              <c:strCache>
                <c:ptCount val="2"/>
                <c:pt idx="0">
                  <c:v>PLAN</c:v>
                </c:pt>
              </c:strCache>
            </c:strRef>
          </c:tx>
          <c:spPr>
            <a:ln w="3810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34"/>
            <c:spPr>
              <a:solidFill>
                <a:schemeClr val="tx1">
                  <a:lumMod val="50000"/>
                  <a:lumOff val="50000"/>
                </a:schemeClr>
              </a:solidFill>
              <a:ln w="3810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3.7955744059947692E-2"/>
                  <c:y val="-3.876480674446594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E68-430A-ABC4-4CFEEDD954F7}"/>
                </c:ext>
              </c:extLst>
            </c:dLbl>
            <c:dLbl>
              <c:idx val="3"/>
              <c:layout>
                <c:manualLayout>
                  <c:x val="-5.7983992531236629E-2"/>
                  <c:y val="-1.68789346668058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E68-430A-ABC4-4CFEEDD954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AFI''s'!$C$5:$N$5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 Plan AFI''s'!$C$6:$N$6</c:f>
              <c:numCache>
                <c:formatCode>0</c:formatCode>
                <c:ptCount val="12"/>
                <c:pt idx="0">
                  <c:v>496</c:v>
                </c:pt>
                <c:pt idx="1">
                  <c:v>446</c:v>
                </c:pt>
                <c:pt idx="2">
                  <c:v>396</c:v>
                </c:pt>
                <c:pt idx="3">
                  <c:v>346</c:v>
                </c:pt>
                <c:pt idx="4">
                  <c:v>296</c:v>
                </c:pt>
                <c:pt idx="5">
                  <c:v>246</c:v>
                </c:pt>
                <c:pt idx="6">
                  <c:v>196</c:v>
                </c:pt>
                <c:pt idx="7">
                  <c:v>146</c:v>
                </c:pt>
                <c:pt idx="8">
                  <c:v>96</c:v>
                </c:pt>
                <c:pt idx="9">
                  <c:v>46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68-430A-ABC4-4CFEEDD954F7}"/>
            </c:ext>
          </c:extLst>
        </c:ser>
        <c:ser>
          <c:idx val="4"/>
          <c:order val="4"/>
          <c:tx>
            <c:strRef>
              <c:f>'2025 Plan AFI''s'!$A$10:$B$10</c:f>
              <c:strCache>
                <c:ptCount val="2"/>
                <c:pt idx="0">
                  <c:v>ACTUAL</c:v>
                </c:pt>
              </c:strCache>
            </c:strRef>
          </c:tx>
          <c:spPr>
            <a:ln w="38100" cap="rnd">
              <a:solidFill>
                <a:srgbClr val="2D8F78"/>
              </a:solidFill>
              <a:round/>
            </a:ln>
            <a:effectLst/>
          </c:spPr>
          <c:marker>
            <c:symbol val="circle"/>
            <c:size val="34"/>
            <c:spPr>
              <a:solidFill>
                <a:srgbClr val="2D8F78"/>
              </a:solidFill>
              <a:ln w="38100">
                <a:solidFill>
                  <a:srgbClr val="2D8F7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AFI''s'!$C$5:$N$5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 Plan AFI''s'!$C$10:$N$10</c:f>
              <c:numCache>
                <c:formatCode>0</c:formatCode>
                <c:ptCount val="12"/>
                <c:pt idx="0">
                  <c:v>496</c:v>
                </c:pt>
                <c:pt idx="1">
                  <c:v>432</c:v>
                </c:pt>
                <c:pt idx="2">
                  <c:v>355</c:v>
                </c:pt>
                <c:pt idx="3">
                  <c:v>325</c:v>
                </c:pt>
                <c:pt idx="4">
                  <c:v>149</c:v>
                </c:pt>
                <c:pt idx="5">
                  <c:v>143</c:v>
                </c:pt>
                <c:pt idx="6">
                  <c:v>113</c:v>
                </c:pt>
                <c:pt idx="7">
                  <c:v>97</c:v>
                </c:pt>
                <c:pt idx="8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68-430A-ABC4-4CFEEDD954F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'2025 Plan AFI''s'!$A$7:$B$7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AFI''s'!$C$7:$N$7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200</c:v>
                      </c:pt>
                      <c:pt idx="1">
                        <c:v>170</c:v>
                      </c:pt>
                      <c:pt idx="2">
                        <c:v>140</c:v>
                      </c:pt>
                      <c:pt idx="3">
                        <c:v>110</c:v>
                      </c:pt>
                      <c:pt idx="4">
                        <c:v>80</c:v>
                      </c:pt>
                      <c:pt idx="5">
                        <c:v>70</c:v>
                      </c:pt>
                      <c:pt idx="6">
                        <c:v>50</c:v>
                      </c:pt>
                      <c:pt idx="7">
                        <c:v>30</c:v>
                      </c:pt>
                      <c:pt idx="8">
                        <c:v>10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6E68-430A-ABC4-4CFEEDD954F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AFI''s'!$A$8:$B$8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AFI''s'!$C$8:$N$8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0.2</c:v>
                      </c:pt>
                      <c:pt idx="1">
                        <c:v>0.2</c:v>
                      </c:pt>
                      <c:pt idx="2">
                        <c:v>0.2</c:v>
                      </c:pt>
                      <c:pt idx="3">
                        <c:v>0.2</c:v>
                      </c:pt>
                      <c:pt idx="4">
                        <c:v>0.2</c:v>
                      </c:pt>
                      <c:pt idx="5">
                        <c:v>0.2</c:v>
                      </c:pt>
                      <c:pt idx="6">
                        <c:v>0.2</c:v>
                      </c:pt>
                      <c:pt idx="7">
                        <c:v>0.2</c:v>
                      </c:pt>
                      <c:pt idx="8">
                        <c:v>0.2</c:v>
                      </c:pt>
                      <c:pt idx="9">
                        <c:v>0.2</c:v>
                      </c:pt>
                      <c:pt idx="10">
                        <c:v>0.2</c:v>
                      </c:pt>
                      <c:pt idx="11">
                        <c:v>0.2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E68-430A-ABC4-4CFEEDD954F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AFI''s'!$A$9:$B$9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dLbl>
                    <c:idx val="4"/>
                    <c:layout>
                      <c:manualLayout>
                        <c:x val="-2.0246911294959619E-2"/>
                        <c:y val="-1.3231416683475725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5-6E68-430A-ABC4-4CFEEDD954F7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AFI''s'!$C$9:$N$9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5</c:v>
                      </c:pt>
                      <c:pt idx="1">
                        <c:v>5</c:v>
                      </c:pt>
                      <c:pt idx="2">
                        <c:v>3</c:v>
                      </c:pt>
                      <c:pt idx="3">
                        <c:v>0.3</c:v>
                      </c:pt>
                      <c:pt idx="4">
                        <c:v>0.3</c:v>
                      </c:pt>
                      <c:pt idx="5">
                        <c:v>0.3</c:v>
                      </c:pt>
                      <c:pt idx="6">
                        <c:v>0.3</c:v>
                      </c:pt>
                      <c:pt idx="7">
                        <c:v>0.3</c:v>
                      </c:pt>
                      <c:pt idx="8">
                        <c:v>0.3</c:v>
                      </c:pt>
                      <c:pt idx="9">
                        <c:v>0.3</c:v>
                      </c:pt>
                      <c:pt idx="10">
                        <c:v>0.3</c:v>
                      </c:pt>
                      <c:pt idx="11">
                        <c:v>0.3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E68-430A-ABC4-4CFEEDD954F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AFI''s'!$A$11:$B$11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AFI''s'!$C$11:$N$11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200</c:v>
                      </c:pt>
                      <c:pt idx="1">
                        <c:v>149</c:v>
                      </c:pt>
                      <c:pt idx="2">
                        <c:v>149</c:v>
                      </c:pt>
                      <c:pt idx="3">
                        <c:v>149</c:v>
                      </c:pt>
                      <c:pt idx="4">
                        <c:v>112</c:v>
                      </c:pt>
                      <c:pt idx="5">
                        <c:v>80</c:v>
                      </c:pt>
                      <c:pt idx="6">
                        <c:v>57</c:v>
                      </c:pt>
                      <c:pt idx="7">
                        <c:v>19</c:v>
                      </c:pt>
                      <c:pt idx="8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E68-430A-ABC4-4CFEEDD954F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AFI''s'!$A$12:$B$12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AFI''s'!$C$12:$N$12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0.1</c:v>
                      </c:pt>
                      <c:pt idx="1">
                        <c:v>0.1</c:v>
                      </c:pt>
                      <c:pt idx="2">
                        <c:v>0.1</c:v>
                      </c:pt>
                      <c:pt idx="3">
                        <c:v>0.1</c:v>
                      </c:pt>
                      <c:pt idx="4">
                        <c:v>0.1</c:v>
                      </c:pt>
                      <c:pt idx="5">
                        <c:v>0.1</c:v>
                      </c:pt>
                      <c:pt idx="6">
                        <c:v>0.1</c:v>
                      </c:pt>
                      <c:pt idx="7">
                        <c:v>0.1</c:v>
                      </c:pt>
                      <c:pt idx="8">
                        <c:v>0.1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6E68-430A-ABC4-4CFEEDD954F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AFI''s'!$A$13:$B$13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AFI''s'!$C$13:$N$13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5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6E68-430A-ABC4-4CFEEDD954F7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632224405412416"/>
          <c:y val="0.92038390072207144"/>
          <c:w val="0.30709619138303795"/>
          <c:h val="7.70619097333325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baseline="0"/>
              <a:t>DRYER - COALMILL</a:t>
            </a:r>
          </a:p>
          <a:p>
            <a:pPr>
              <a:defRPr/>
            </a:pPr>
            <a:r>
              <a:rPr lang="en-US" sz="2000" b="0" baseline="0"/>
              <a:t>AFI's (Monthly)</a:t>
            </a:r>
            <a:endParaRPr lang="en-US" sz="2000" b="0"/>
          </a:p>
        </c:rich>
      </c:tx>
      <c:layout>
        <c:manualLayout>
          <c:xMode val="edge"/>
          <c:yMode val="edge"/>
          <c:x val="0.39356855558519971"/>
          <c:y val="1.06878423534216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73122411781860597"/>
        </c:manualLayout>
      </c:layout>
      <c:lineChart>
        <c:grouping val="standard"/>
        <c:varyColors val="0"/>
        <c:ser>
          <c:idx val="1"/>
          <c:order val="1"/>
          <c:tx>
            <c:strRef>
              <c:f>'2025 Plan AFI''s'!$A$7:$B$7</c:f>
              <c:strCache>
                <c:ptCount val="2"/>
                <c:pt idx="0">
                  <c:v>PLAN</c:v>
                </c:pt>
              </c:strCache>
            </c:strRef>
          </c:tx>
          <c:spPr>
            <a:ln w="3810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33"/>
            <c:spPr>
              <a:solidFill>
                <a:schemeClr val="tx1">
                  <a:lumMod val="50000"/>
                  <a:lumOff val="50000"/>
                </a:schemeClr>
              </a:solidFill>
              <a:ln w="3810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-4.9054592607742267E-2"/>
                  <c:y val="1.12732686478503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DB3-46CF-B1F7-6DF3639F244F}"/>
                </c:ext>
              </c:extLst>
            </c:dLbl>
            <c:dLbl>
              <c:idx val="6"/>
              <c:layout>
                <c:manualLayout>
                  <c:x val="-5.0557719110868718E-2"/>
                  <c:y val="9.0186149182802586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B3-46CF-B1F7-6DF3639F244F}"/>
                </c:ext>
              </c:extLst>
            </c:dLbl>
            <c:dLbl>
              <c:idx val="7"/>
              <c:layout>
                <c:manualLayout>
                  <c:x val="-5.0557719110868718E-2"/>
                  <c:y val="-1.32661183337755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DB3-46CF-B1F7-6DF3639F24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AFI''s'!$C$5:$N$5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 Plan AFI''s'!$C$7:$N$7</c:f>
              <c:numCache>
                <c:formatCode>0</c:formatCode>
                <c:ptCount val="12"/>
                <c:pt idx="0">
                  <c:v>200</c:v>
                </c:pt>
                <c:pt idx="1">
                  <c:v>170</c:v>
                </c:pt>
                <c:pt idx="2">
                  <c:v>140</c:v>
                </c:pt>
                <c:pt idx="3">
                  <c:v>110</c:v>
                </c:pt>
                <c:pt idx="4">
                  <c:v>80</c:v>
                </c:pt>
                <c:pt idx="5">
                  <c:v>70</c:v>
                </c:pt>
                <c:pt idx="6">
                  <c:v>50</c:v>
                </c:pt>
                <c:pt idx="7">
                  <c:v>30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A029-4453-9CE2-0B0A85409BF2}"/>
            </c:ext>
          </c:extLst>
        </c:ser>
        <c:ser>
          <c:idx val="5"/>
          <c:order val="5"/>
          <c:tx>
            <c:strRef>
              <c:f>'2025 Plan AFI''s'!$A$11:$B$11</c:f>
              <c:strCache>
                <c:ptCount val="2"/>
                <c:pt idx="0">
                  <c:v>ACTUAL</c:v>
                </c:pt>
              </c:strCache>
            </c:strRef>
          </c:tx>
          <c:spPr>
            <a:ln w="38100" cap="rnd">
              <a:solidFill>
                <a:srgbClr val="2D8F78"/>
              </a:solidFill>
              <a:round/>
            </a:ln>
            <a:effectLst/>
          </c:spPr>
          <c:marker>
            <c:symbol val="circle"/>
            <c:size val="33"/>
            <c:spPr>
              <a:solidFill>
                <a:srgbClr val="2D8F78"/>
              </a:solidFill>
              <a:ln w="38100">
                <a:solidFill>
                  <a:srgbClr val="2D8F78"/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-4.9054592607742267E-2"/>
                  <c:y val="-4.5093074591401709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DB3-46CF-B1F7-6DF3639F244F}"/>
                </c:ext>
              </c:extLst>
            </c:dLbl>
            <c:dLbl>
              <c:idx val="6"/>
              <c:layout>
                <c:manualLayout>
                  <c:x val="-4.9054592607742212E-2"/>
                  <c:y val="-8.494733265375467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DB3-46CF-B1F7-6DF3639F244F}"/>
                </c:ext>
              </c:extLst>
            </c:dLbl>
            <c:dLbl>
              <c:idx val="7"/>
              <c:layout>
                <c:manualLayout>
                  <c:x val="-5.0557719110868718E-2"/>
                  <c:y val="2.21101972229592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DB3-46CF-B1F7-6DF3639F24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AFI''s'!$C$5:$N$5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 Plan AFI''s'!$C$11:$N$11</c:f>
              <c:numCache>
                <c:formatCode>0</c:formatCode>
                <c:ptCount val="12"/>
                <c:pt idx="0">
                  <c:v>200</c:v>
                </c:pt>
                <c:pt idx="1">
                  <c:v>149</c:v>
                </c:pt>
                <c:pt idx="2">
                  <c:v>149</c:v>
                </c:pt>
                <c:pt idx="3">
                  <c:v>149</c:v>
                </c:pt>
                <c:pt idx="4">
                  <c:v>112</c:v>
                </c:pt>
                <c:pt idx="5">
                  <c:v>80</c:v>
                </c:pt>
                <c:pt idx="6">
                  <c:v>57</c:v>
                </c:pt>
                <c:pt idx="7">
                  <c:v>19</c:v>
                </c:pt>
                <c:pt idx="8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29-4453-9CE2-0B0A85409BF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'2025 Plan AFI''s'!$A$6:$B$6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bg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bg1">
                        <a:lumMod val="50000"/>
                      </a:schemeClr>
                    </a:solidFill>
                    <a:ln w="9525">
                      <a:solidFill>
                        <a:schemeClr val="bg1">
                          <a:lumMod val="5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5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AFI''s'!$C$6:$N$6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496</c:v>
                      </c:pt>
                      <c:pt idx="1">
                        <c:v>446</c:v>
                      </c:pt>
                      <c:pt idx="2">
                        <c:v>396</c:v>
                      </c:pt>
                      <c:pt idx="3">
                        <c:v>346</c:v>
                      </c:pt>
                      <c:pt idx="4">
                        <c:v>296</c:v>
                      </c:pt>
                      <c:pt idx="5">
                        <c:v>246</c:v>
                      </c:pt>
                      <c:pt idx="6">
                        <c:v>196</c:v>
                      </c:pt>
                      <c:pt idx="7">
                        <c:v>146</c:v>
                      </c:pt>
                      <c:pt idx="8">
                        <c:v>96</c:v>
                      </c:pt>
                      <c:pt idx="9">
                        <c:v>46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029-4453-9CE2-0B0A85409BF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AFI''s'!$A$8:$B$8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AFI''s'!$C$8:$N$8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0.2</c:v>
                      </c:pt>
                      <c:pt idx="1">
                        <c:v>0.2</c:v>
                      </c:pt>
                      <c:pt idx="2">
                        <c:v>0.2</c:v>
                      </c:pt>
                      <c:pt idx="3">
                        <c:v>0.2</c:v>
                      </c:pt>
                      <c:pt idx="4">
                        <c:v>0.2</c:v>
                      </c:pt>
                      <c:pt idx="5">
                        <c:v>0.2</c:v>
                      </c:pt>
                      <c:pt idx="6">
                        <c:v>0.2</c:v>
                      </c:pt>
                      <c:pt idx="7">
                        <c:v>0.2</c:v>
                      </c:pt>
                      <c:pt idx="8">
                        <c:v>0.2</c:v>
                      </c:pt>
                      <c:pt idx="9">
                        <c:v>0.2</c:v>
                      </c:pt>
                      <c:pt idx="10">
                        <c:v>0.2</c:v>
                      </c:pt>
                      <c:pt idx="11">
                        <c:v>0.2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029-4453-9CE2-0B0A85409BF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AFI''s'!$A$9:$B$9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dLbl>
                    <c:idx val="4"/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4-A029-4453-9CE2-0B0A85409BF2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AFI''s'!$C$9:$N$9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5</c:v>
                      </c:pt>
                      <c:pt idx="1">
                        <c:v>5</c:v>
                      </c:pt>
                      <c:pt idx="2">
                        <c:v>3</c:v>
                      </c:pt>
                      <c:pt idx="3">
                        <c:v>0.3</c:v>
                      </c:pt>
                      <c:pt idx="4">
                        <c:v>0.3</c:v>
                      </c:pt>
                      <c:pt idx="5">
                        <c:v>0.3</c:v>
                      </c:pt>
                      <c:pt idx="6">
                        <c:v>0.3</c:v>
                      </c:pt>
                      <c:pt idx="7">
                        <c:v>0.3</c:v>
                      </c:pt>
                      <c:pt idx="8">
                        <c:v>0.3</c:v>
                      </c:pt>
                      <c:pt idx="9">
                        <c:v>0.3</c:v>
                      </c:pt>
                      <c:pt idx="10">
                        <c:v>0.3</c:v>
                      </c:pt>
                      <c:pt idx="11">
                        <c:v>0.3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029-4453-9CE2-0B0A85409BF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AFI''s'!$A$10:$B$10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5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AFI''s'!$C$10:$N$10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496</c:v>
                      </c:pt>
                      <c:pt idx="1">
                        <c:v>432</c:v>
                      </c:pt>
                      <c:pt idx="2">
                        <c:v>355</c:v>
                      </c:pt>
                      <c:pt idx="3">
                        <c:v>325</c:v>
                      </c:pt>
                      <c:pt idx="4">
                        <c:v>149</c:v>
                      </c:pt>
                      <c:pt idx="5">
                        <c:v>143</c:v>
                      </c:pt>
                      <c:pt idx="6">
                        <c:v>113</c:v>
                      </c:pt>
                      <c:pt idx="7">
                        <c:v>97</c:v>
                      </c:pt>
                      <c:pt idx="8">
                        <c:v>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029-4453-9CE2-0B0A85409BF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AFI''s'!$A$12:$B$12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AFI''s'!$C$12:$N$12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0.1</c:v>
                      </c:pt>
                      <c:pt idx="1">
                        <c:v>0.1</c:v>
                      </c:pt>
                      <c:pt idx="2">
                        <c:v>0.1</c:v>
                      </c:pt>
                      <c:pt idx="3">
                        <c:v>0.1</c:v>
                      </c:pt>
                      <c:pt idx="4">
                        <c:v>0.1</c:v>
                      </c:pt>
                      <c:pt idx="5">
                        <c:v>0.1</c:v>
                      </c:pt>
                      <c:pt idx="6">
                        <c:v>0.1</c:v>
                      </c:pt>
                      <c:pt idx="7">
                        <c:v>0.1</c:v>
                      </c:pt>
                      <c:pt idx="8">
                        <c:v>0.1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029-4453-9CE2-0B0A85409BF2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AFI''s'!$A$13:$B$13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AFI''s'!$C$13:$N$13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5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029-4453-9CE2-0B0A85409BF2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632497965315334"/>
          <c:y val="0.91795887230873741"/>
          <c:w val="0.30734991105465764"/>
          <c:h val="7.69407783173304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baseline="0"/>
              <a:t>FURNACE</a:t>
            </a:r>
          </a:p>
          <a:p>
            <a:pPr>
              <a:defRPr sz="1800"/>
            </a:pPr>
            <a:r>
              <a:rPr lang="en-US" sz="2000" b="0" baseline="0"/>
              <a:t>AFI's (Monthly)</a:t>
            </a:r>
            <a:endParaRPr lang="en-US" sz="2000" b="0"/>
          </a:p>
        </c:rich>
      </c:tx>
      <c:layout>
        <c:manualLayout>
          <c:xMode val="edge"/>
          <c:yMode val="edge"/>
          <c:x val="0.42878071085517805"/>
          <c:y val="1.84049016551554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73122411781860597"/>
        </c:manualLayout>
      </c:layout>
      <c:lineChart>
        <c:grouping val="standard"/>
        <c:varyColors val="0"/>
        <c:ser>
          <c:idx val="2"/>
          <c:order val="2"/>
          <c:tx>
            <c:strRef>
              <c:f>'2025 Plan AFI''s'!$A$8:$B$8</c:f>
              <c:strCache>
                <c:ptCount val="2"/>
                <c:pt idx="0">
                  <c:v>PLAN</c:v>
                </c:pt>
              </c:strCache>
            </c:strRef>
          </c:tx>
          <c:spPr>
            <a:ln w="3810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30"/>
            <c:spPr>
              <a:solidFill>
                <a:schemeClr val="tx1">
                  <a:lumMod val="50000"/>
                  <a:lumOff val="50000"/>
                </a:schemeClr>
              </a:solidFill>
              <a:ln w="3810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AFI''s'!$C$5:$N$5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 Plan AFI''s'!$C$8:$N$8</c:f>
              <c:numCache>
                <c:formatCode>0</c:formatCode>
                <c:ptCount val="12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69B3-4840-8A83-E0BFE89E0E73}"/>
            </c:ext>
          </c:extLst>
        </c:ser>
        <c:ser>
          <c:idx val="6"/>
          <c:order val="6"/>
          <c:tx>
            <c:strRef>
              <c:f>'2025 Plan AFI''s'!$A$12:$B$12</c:f>
              <c:strCache>
                <c:ptCount val="2"/>
                <c:pt idx="0">
                  <c:v>ACTUAL</c:v>
                </c:pt>
              </c:strCache>
            </c:strRef>
          </c:tx>
          <c:spPr>
            <a:ln w="38100" cap="rnd">
              <a:solidFill>
                <a:srgbClr val="2D8F78"/>
              </a:solidFill>
              <a:round/>
            </a:ln>
            <a:effectLst/>
          </c:spPr>
          <c:marker>
            <c:symbol val="circle"/>
            <c:size val="30"/>
            <c:spPr>
              <a:solidFill>
                <a:srgbClr val="2D8F78"/>
              </a:solidFill>
              <a:ln w="38100">
                <a:solidFill>
                  <a:srgbClr val="2D8F7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AFI''s'!$C$5:$N$5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 Plan AFI''s'!$C$12:$N$12</c:f>
              <c:numCache>
                <c:formatCode>0</c:formatCode>
                <c:ptCount val="12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B3-4840-8A83-E0BFE89E0E7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'2025 Plan AFI''s'!$A$6:$B$6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bg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bg1">
                        <a:lumMod val="50000"/>
                      </a:schemeClr>
                    </a:solidFill>
                    <a:ln w="9525">
                      <a:solidFill>
                        <a:schemeClr val="bg1">
                          <a:lumMod val="5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5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AFI''s'!$C$6:$N$6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496</c:v>
                      </c:pt>
                      <c:pt idx="1">
                        <c:v>446</c:v>
                      </c:pt>
                      <c:pt idx="2">
                        <c:v>396</c:v>
                      </c:pt>
                      <c:pt idx="3">
                        <c:v>346</c:v>
                      </c:pt>
                      <c:pt idx="4">
                        <c:v>296</c:v>
                      </c:pt>
                      <c:pt idx="5">
                        <c:v>246</c:v>
                      </c:pt>
                      <c:pt idx="6">
                        <c:v>196</c:v>
                      </c:pt>
                      <c:pt idx="7">
                        <c:v>146</c:v>
                      </c:pt>
                      <c:pt idx="8">
                        <c:v>96</c:v>
                      </c:pt>
                      <c:pt idx="9">
                        <c:v>46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69B3-4840-8A83-E0BFE89E0E7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AFI''s'!$A$7:$B$7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AFI''s'!$C$7:$N$7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200</c:v>
                      </c:pt>
                      <c:pt idx="1">
                        <c:v>170</c:v>
                      </c:pt>
                      <c:pt idx="2">
                        <c:v>140</c:v>
                      </c:pt>
                      <c:pt idx="3">
                        <c:v>110</c:v>
                      </c:pt>
                      <c:pt idx="4">
                        <c:v>80</c:v>
                      </c:pt>
                      <c:pt idx="5">
                        <c:v>70</c:v>
                      </c:pt>
                      <c:pt idx="6">
                        <c:v>50</c:v>
                      </c:pt>
                      <c:pt idx="7">
                        <c:v>30</c:v>
                      </c:pt>
                      <c:pt idx="8">
                        <c:v>10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9B3-4840-8A83-E0BFE89E0E7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AFI''s'!$A$9:$B$9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dLbl>
                    <c:idx val="4"/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4-69B3-4840-8A83-E0BFE89E0E73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AFI''s'!$C$9:$N$9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5</c:v>
                      </c:pt>
                      <c:pt idx="1">
                        <c:v>5</c:v>
                      </c:pt>
                      <c:pt idx="2">
                        <c:v>3</c:v>
                      </c:pt>
                      <c:pt idx="3">
                        <c:v>0.3</c:v>
                      </c:pt>
                      <c:pt idx="4">
                        <c:v>0.3</c:v>
                      </c:pt>
                      <c:pt idx="5">
                        <c:v>0.3</c:v>
                      </c:pt>
                      <c:pt idx="6">
                        <c:v>0.3</c:v>
                      </c:pt>
                      <c:pt idx="7">
                        <c:v>0.3</c:v>
                      </c:pt>
                      <c:pt idx="8">
                        <c:v>0.3</c:v>
                      </c:pt>
                      <c:pt idx="9">
                        <c:v>0.3</c:v>
                      </c:pt>
                      <c:pt idx="10">
                        <c:v>0.3</c:v>
                      </c:pt>
                      <c:pt idx="11">
                        <c:v>0.3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9B3-4840-8A83-E0BFE89E0E7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AFI''s'!$A$10:$B$10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5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AFI''s'!$C$10:$N$10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496</c:v>
                      </c:pt>
                      <c:pt idx="1">
                        <c:v>432</c:v>
                      </c:pt>
                      <c:pt idx="2">
                        <c:v>355</c:v>
                      </c:pt>
                      <c:pt idx="3">
                        <c:v>325</c:v>
                      </c:pt>
                      <c:pt idx="4">
                        <c:v>149</c:v>
                      </c:pt>
                      <c:pt idx="5">
                        <c:v>143</c:v>
                      </c:pt>
                      <c:pt idx="6">
                        <c:v>113</c:v>
                      </c:pt>
                      <c:pt idx="7">
                        <c:v>97</c:v>
                      </c:pt>
                      <c:pt idx="8">
                        <c:v>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9B3-4840-8A83-E0BFE89E0E7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AFI''s'!$A$11:$B$11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AFI''s'!$C$11:$N$11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200</c:v>
                      </c:pt>
                      <c:pt idx="1">
                        <c:v>149</c:v>
                      </c:pt>
                      <c:pt idx="2">
                        <c:v>149</c:v>
                      </c:pt>
                      <c:pt idx="3">
                        <c:v>149</c:v>
                      </c:pt>
                      <c:pt idx="4">
                        <c:v>112</c:v>
                      </c:pt>
                      <c:pt idx="5">
                        <c:v>80</c:v>
                      </c:pt>
                      <c:pt idx="6">
                        <c:v>57</c:v>
                      </c:pt>
                      <c:pt idx="7">
                        <c:v>19</c:v>
                      </c:pt>
                      <c:pt idx="8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9B3-4840-8A83-E0BFE89E0E73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AFI''s'!$A$13:$B$13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AFI''s'!$C$13:$N$13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5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69B3-4840-8A83-E0BFE89E0E73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baseline="0"/>
              <a:t>CONVERTER</a:t>
            </a:r>
          </a:p>
          <a:p>
            <a:pPr>
              <a:defRPr/>
            </a:pPr>
            <a:r>
              <a:rPr lang="en-US" sz="2000" b="0" baseline="0"/>
              <a:t>AFI's (Monthly)</a:t>
            </a:r>
            <a:endParaRPr lang="en-US" sz="2000" b="0"/>
          </a:p>
        </c:rich>
      </c:tx>
      <c:layout>
        <c:manualLayout>
          <c:xMode val="edge"/>
          <c:yMode val="edge"/>
          <c:x val="0.44034175915277723"/>
          <c:y val="1.84076006428470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73122411781860597"/>
        </c:manualLayout>
      </c:layout>
      <c:lineChart>
        <c:grouping val="standard"/>
        <c:varyColors val="0"/>
        <c:ser>
          <c:idx val="3"/>
          <c:order val="3"/>
          <c:tx>
            <c:strRef>
              <c:f>'2025 Plan AFI''s'!$A$9:$B$9</c:f>
              <c:strCache>
                <c:ptCount val="2"/>
                <c:pt idx="0">
                  <c:v>PLAN</c:v>
                </c:pt>
              </c:strCache>
            </c:strRef>
          </c:tx>
          <c:spPr>
            <a:ln w="3810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30"/>
            <c:spPr>
              <a:solidFill>
                <a:schemeClr val="tx1">
                  <a:lumMod val="50000"/>
                  <a:lumOff val="50000"/>
                </a:schemeClr>
              </a:solidFill>
              <a:ln w="3810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AFI''s'!$C$5:$N$5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 Plan AFI''s'!$C$9:$N$9</c:f>
              <c:numCache>
                <c:formatCode>0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F107-499B-81E4-84C2A6134443}"/>
            </c:ext>
          </c:extLst>
        </c:ser>
        <c:ser>
          <c:idx val="7"/>
          <c:order val="7"/>
          <c:tx>
            <c:strRef>
              <c:f>'2025 Plan AFI''s'!$A$13:$B$13</c:f>
              <c:strCache>
                <c:ptCount val="2"/>
                <c:pt idx="0">
                  <c:v>ACTUAL</c:v>
                </c:pt>
              </c:strCache>
            </c:strRef>
          </c:tx>
          <c:spPr>
            <a:ln w="38100" cap="rnd">
              <a:solidFill>
                <a:srgbClr val="2D8F78"/>
              </a:solidFill>
              <a:round/>
            </a:ln>
            <a:effectLst/>
          </c:spPr>
          <c:marker>
            <c:symbol val="circle"/>
            <c:size val="30"/>
            <c:spPr>
              <a:solidFill>
                <a:srgbClr val="2D8F78"/>
              </a:solidFill>
              <a:ln w="38100">
                <a:solidFill>
                  <a:srgbClr val="2D8F7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AFI''s'!$C$5:$N$5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 Plan AFI''s'!$C$13:$N$13</c:f>
              <c:numCache>
                <c:formatCode>0</c:formatCode>
                <c:ptCount val="12"/>
                <c:pt idx="0">
                  <c:v>5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07-499B-81E4-84C2A613444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'2025 Plan AFI''s'!$A$6:$B$6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bg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bg1">
                        <a:lumMod val="50000"/>
                      </a:schemeClr>
                    </a:solidFill>
                    <a:ln w="9525">
                      <a:solidFill>
                        <a:schemeClr val="bg1">
                          <a:lumMod val="5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5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AFI''s'!$C$6:$N$6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496</c:v>
                      </c:pt>
                      <c:pt idx="1">
                        <c:v>446</c:v>
                      </c:pt>
                      <c:pt idx="2">
                        <c:v>396</c:v>
                      </c:pt>
                      <c:pt idx="3">
                        <c:v>346</c:v>
                      </c:pt>
                      <c:pt idx="4">
                        <c:v>296</c:v>
                      </c:pt>
                      <c:pt idx="5">
                        <c:v>246</c:v>
                      </c:pt>
                      <c:pt idx="6">
                        <c:v>196</c:v>
                      </c:pt>
                      <c:pt idx="7">
                        <c:v>146</c:v>
                      </c:pt>
                      <c:pt idx="8">
                        <c:v>96</c:v>
                      </c:pt>
                      <c:pt idx="9">
                        <c:v>46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F107-499B-81E4-84C2A613444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AFI''s'!$A$7:$B$7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AFI''s'!$C$7:$N$7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200</c:v>
                      </c:pt>
                      <c:pt idx="1">
                        <c:v>170</c:v>
                      </c:pt>
                      <c:pt idx="2">
                        <c:v>140</c:v>
                      </c:pt>
                      <c:pt idx="3">
                        <c:v>110</c:v>
                      </c:pt>
                      <c:pt idx="4">
                        <c:v>80</c:v>
                      </c:pt>
                      <c:pt idx="5">
                        <c:v>70</c:v>
                      </c:pt>
                      <c:pt idx="6">
                        <c:v>50</c:v>
                      </c:pt>
                      <c:pt idx="7">
                        <c:v>30</c:v>
                      </c:pt>
                      <c:pt idx="8">
                        <c:v>10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107-499B-81E4-84C2A613444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AFI''s'!$A$8:$B$8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AFI''s'!$C$8:$N$8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0.2</c:v>
                      </c:pt>
                      <c:pt idx="1">
                        <c:v>0.2</c:v>
                      </c:pt>
                      <c:pt idx="2">
                        <c:v>0.2</c:v>
                      </c:pt>
                      <c:pt idx="3">
                        <c:v>0.2</c:v>
                      </c:pt>
                      <c:pt idx="4">
                        <c:v>0.2</c:v>
                      </c:pt>
                      <c:pt idx="5">
                        <c:v>0.2</c:v>
                      </c:pt>
                      <c:pt idx="6">
                        <c:v>0.2</c:v>
                      </c:pt>
                      <c:pt idx="7">
                        <c:v>0.2</c:v>
                      </c:pt>
                      <c:pt idx="8">
                        <c:v>0.2</c:v>
                      </c:pt>
                      <c:pt idx="9">
                        <c:v>0.2</c:v>
                      </c:pt>
                      <c:pt idx="10">
                        <c:v>0.2</c:v>
                      </c:pt>
                      <c:pt idx="11">
                        <c:v>0.2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107-499B-81E4-84C2A613444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AFI''s'!$A$10:$B$10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5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AFI''s'!$C$10:$N$10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496</c:v>
                      </c:pt>
                      <c:pt idx="1">
                        <c:v>432</c:v>
                      </c:pt>
                      <c:pt idx="2">
                        <c:v>355</c:v>
                      </c:pt>
                      <c:pt idx="3">
                        <c:v>325</c:v>
                      </c:pt>
                      <c:pt idx="4">
                        <c:v>149</c:v>
                      </c:pt>
                      <c:pt idx="5">
                        <c:v>143</c:v>
                      </c:pt>
                      <c:pt idx="6">
                        <c:v>113</c:v>
                      </c:pt>
                      <c:pt idx="7">
                        <c:v>97</c:v>
                      </c:pt>
                      <c:pt idx="8">
                        <c:v>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107-499B-81E4-84C2A613444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AFI''s'!$A$11:$B$11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AFI''s'!$C$11:$N$11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200</c:v>
                      </c:pt>
                      <c:pt idx="1">
                        <c:v>149</c:v>
                      </c:pt>
                      <c:pt idx="2">
                        <c:v>149</c:v>
                      </c:pt>
                      <c:pt idx="3">
                        <c:v>149</c:v>
                      </c:pt>
                      <c:pt idx="4">
                        <c:v>112</c:v>
                      </c:pt>
                      <c:pt idx="5">
                        <c:v>80</c:v>
                      </c:pt>
                      <c:pt idx="6">
                        <c:v>57</c:v>
                      </c:pt>
                      <c:pt idx="7">
                        <c:v>19</c:v>
                      </c:pt>
                      <c:pt idx="8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107-499B-81E4-84C2A613444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AFI''s'!$A$12:$B$12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1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AFI''s'!$C$12:$N$12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0.1</c:v>
                      </c:pt>
                      <c:pt idx="1">
                        <c:v>0.1</c:v>
                      </c:pt>
                      <c:pt idx="2">
                        <c:v>0.1</c:v>
                      </c:pt>
                      <c:pt idx="3">
                        <c:v>0.1</c:v>
                      </c:pt>
                      <c:pt idx="4">
                        <c:v>0.1</c:v>
                      </c:pt>
                      <c:pt idx="5">
                        <c:v>0.1</c:v>
                      </c:pt>
                      <c:pt idx="6">
                        <c:v>0.1</c:v>
                      </c:pt>
                      <c:pt idx="7">
                        <c:v>0.1</c:v>
                      </c:pt>
                      <c:pt idx="8">
                        <c:v>0.1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107-499B-81E4-84C2A6134443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Vale Sans" panose="020B0503020204030204" pitchFamily="34" charset="0"/>
                <a:ea typeface="+mn-ea"/>
                <a:cs typeface="+mn-cs"/>
              </a:defRPr>
            </a:pPr>
            <a:r>
              <a:rPr lang="en-US" sz="1800" b="1" baseline="0">
                <a:latin typeface="Vale Sans" panose="020B0503020204030204" pitchFamily="34" charset="0"/>
              </a:rPr>
              <a:t>KILN - CTS</a:t>
            </a:r>
          </a:p>
          <a:p>
            <a:pPr>
              <a:defRPr sz="1800">
                <a:latin typeface="Vale Sans" panose="020B0503020204030204" pitchFamily="34" charset="0"/>
              </a:defRPr>
            </a:pPr>
            <a:r>
              <a:rPr lang="en-US" sz="1800" b="0" baseline="0">
                <a:latin typeface="Vale Sans" panose="020B0503020204030204" pitchFamily="34" charset="0"/>
              </a:rPr>
              <a:t>AFI's (Monthly)</a:t>
            </a:r>
            <a:endParaRPr lang="en-US" sz="1800" b="0">
              <a:latin typeface="Vale Sans" panose="020B0503020204030204" pitchFamily="34" charset="0"/>
            </a:endParaRPr>
          </a:p>
        </c:rich>
      </c:tx>
      <c:layout>
        <c:manualLayout>
          <c:xMode val="edge"/>
          <c:yMode val="edge"/>
          <c:x val="0.41732750313055111"/>
          <c:y val="2.2241323664160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Vale Sans" panose="020B0503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692438723968361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'2025 Plan AFI''s'!$A$6:$B$6</c:f>
              <c:strCache>
                <c:ptCount val="2"/>
                <c:pt idx="0">
                  <c:v>PLAN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6350"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6476584826907639E-3"/>
                  <c:y val="-3.340925498841116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0B8-4EE5-9909-E50D7AAE68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Vale Sans" panose="020B0503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AFI''s'!$C$5:$N$5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 Plan AFI''s'!$C$6:$N$6</c:f>
              <c:numCache>
                <c:formatCode>0</c:formatCode>
                <c:ptCount val="12"/>
                <c:pt idx="0">
                  <c:v>496</c:v>
                </c:pt>
                <c:pt idx="1">
                  <c:v>446</c:v>
                </c:pt>
                <c:pt idx="2">
                  <c:v>396</c:v>
                </c:pt>
                <c:pt idx="3">
                  <c:v>346</c:v>
                </c:pt>
                <c:pt idx="4">
                  <c:v>296</c:v>
                </c:pt>
                <c:pt idx="5">
                  <c:v>246</c:v>
                </c:pt>
                <c:pt idx="6">
                  <c:v>196</c:v>
                </c:pt>
                <c:pt idx="7">
                  <c:v>146</c:v>
                </c:pt>
                <c:pt idx="8">
                  <c:v>96</c:v>
                </c:pt>
                <c:pt idx="9">
                  <c:v>46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B8-4EE5-9909-E50D7AAE68B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5"/>
        <c:axId val="950571840"/>
        <c:axId val="95056716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'2025 Plan AFI''s'!$A$7:$B$7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AFI''s'!$C$7:$N$7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200</c:v>
                      </c:pt>
                      <c:pt idx="1">
                        <c:v>170</c:v>
                      </c:pt>
                      <c:pt idx="2">
                        <c:v>140</c:v>
                      </c:pt>
                      <c:pt idx="3">
                        <c:v>110</c:v>
                      </c:pt>
                      <c:pt idx="4">
                        <c:v>80</c:v>
                      </c:pt>
                      <c:pt idx="5">
                        <c:v>70</c:v>
                      </c:pt>
                      <c:pt idx="6">
                        <c:v>50</c:v>
                      </c:pt>
                      <c:pt idx="7">
                        <c:v>30</c:v>
                      </c:pt>
                      <c:pt idx="8">
                        <c:v>10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E0B8-4EE5-9909-E50D7AAE68B2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AFI''s'!$A$8:$B$8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AFI''s'!$C$8:$N$8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0.2</c:v>
                      </c:pt>
                      <c:pt idx="1">
                        <c:v>0.2</c:v>
                      </c:pt>
                      <c:pt idx="2">
                        <c:v>0.2</c:v>
                      </c:pt>
                      <c:pt idx="3">
                        <c:v>0.2</c:v>
                      </c:pt>
                      <c:pt idx="4">
                        <c:v>0.2</c:v>
                      </c:pt>
                      <c:pt idx="5">
                        <c:v>0.2</c:v>
                      </c:pt>
                      <c:pt idx="6">
                        <c:v>0.2</c:v>
                      </c:pt>
                      <c:pt idx="7">
                        <c:v>0.2</c:v>
                      </c:pt>
                      <c:pt idx="8">
                        <c:v>0.2</c:v>
                      </c:pt>
                      <c:pt idx="9">
                        <c:v>0.2</c:v>
                      </c:pt>
                      <c:pt idx="10">
                        <c:v>0.2</c:v>
                      </c:pt>
                      <c:pt idx="11">
                        <c:v>0.2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0B8-4EE5-9909-E50D7AAE68B2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AFI''s'!$A$9:$B$9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AFI''s'!$C$9:$N$9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5</c:v>
                      </c:pt>
                      <c:pt idx="1">
                        <c:v>5</c:v>
                      </c:pt>
                      <c:pt idx="2">
                        <c:v>3</c:v>
                      </c:pt>
                      <c:pt idx="3">
                        <c:v>0.3</c:v>
                      </c:pt>
                      <c:pt idx="4">
                        <c:v>0.3</c:v>
                      </c:pt>
                      <c:pt idx="5">
                        <c:v>0.3</c:v>
                      </c:pt>
                      <c:pt idx="6">
                        <c:v>0.3</c:v>
                      </c:pt>
                      <c:pt idx="7">
                        <c:v>0.3</c:v>
                      </c:pt>
                      <c:pt idx="8">
                        <c:v>0.3</c:v>
                      </c:pt>
                      <c:pt idx="9">
                        <c:v>0.3</c:v>
                      </c:pt>
                      <c:pt idx="10">
                        <c:v>0.3</c:v>
                      </c:pt>
                      <c:pt idx="11">
                        <c:v>0.3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0B8-4EE5-9909-E50D7AAE68B2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AFI''s'!$A$11:$B$11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AFI''s'!$C$11:$N$11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200</c:v>
                      </c:pt>
                      <c:pt idx="1">
                        <c:v>149</c:v>
                      </c:pt>
                      <c:pt idx="2">
                        <c:v>149</c:v>
                      </c:pt>
                      <c:pt idx="3">
                        <c:v>149</c:v>
                      </c:pt>
                      <c:pt idx="4">
                        <c:v>112</c:v>
                      </c:pt>
                      <c:pt idx="5">
                        <c:v>80</c:v>
                      </c:pt>
                      <c:pt idx="6">
                        <c:v>57</c:v>
                      </c:pt>
                      <c:pt idx="7">
                        <c:v>19</c:v>
                      </c:pt>
                      <c:pt idx="8">
                        <c:v>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0B8-4EE5-9909-E50D7AAE68B2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AFI''s'!$A$12:$B$12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AFI''s'!$C$12:$N$12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0.1</c:v>
                      </c:pt>
                      <c:pt idx="1">
                        <c:v>0.1</c:v>
                      </c:pt>
                      <c:pt idx="2">
                        <c:v>0.1</c:v>
                      </c:pt>
                      <c:pt idx="3">
                        <c:v>0.1</c:v>
                      </c:pt>
                      <c:pt idx="4">
                        <c:v>0.1</c:v>
                      </c:pt>
                      <c:pt idx="5">
                        <c:v>0.1</c:v>
                      </c:pt>
                      <c:pt idx="6">
                        <c:v>0.1</c:v>
                      </c:pt>
                      <c:pt idx="7">
                        <c:v>0.1</c:v>
                      </c:pt>
                      <c:pt idx="8">
                        <c:v>0.1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0B8-4EE5-9909-E50D7AAE68B2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AFI''s'!$A$13:$B$13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AFI''s'!$C$13:$N$13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5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0B8-4EE5-9909-E50D7AAE68B2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'2025 Plan AFI''s'!$A$10:$B$10</c:f>
              <c:strCache>
                <c:ptCount val="2"/>
                <c:pt idx="0">
                  <c:v>ACTUAL</c:v>
                </c:pt>
              </c:strCache>
            </c:strRef>
          </c:tx>
          <c:spPr>
            <a:ln w="57150" cap="rnd">
              <a:solidFill>
                <a:srgbClr val="2D8F78"/>
              </a:solidFill>
              <a:round/>
            </a:ln>
            <a:effectLst/>
          </c:spPr>
          <c:marker>
            <c:symbol val="x"/>
            <c:size val="28"/>
            <c:spPr>
              <a:solidFill>
                <a:srgbClr val="2D8F78"/>
              </a:solidFill>
              <a:ln w="57150">
                <a:solidFill>
                  <a:srgbClr val="2D8F7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Vale Sans" panose="020B0503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AFI''s'!$C$5:$N$5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 Plan AFI''s'!$C$10:$N$10</c:f>
              <c:numCache>
                <c:formatCode>0</c:formatCode>
                <c:ptCount val="12"/>
                <c:pt idx="0">
                  <c:v>496</c:v>
                </c:pt>
                <c:pt idx="1">
                  <c:v>432</c:v>
                </c:pt>
                <c:pt idx="2">
                  <c:v>355</c:v>
                </c:pt>
                <c:pt idx="3">
                  <c:v>325</c:v>
                </c:pt>
                <c:pt idx="4">
                  <c:v>149</c:v>
                </c:pt>
                <c:pt idx="5">
                  <c:v>143</c:v>
                </c:pt>
                <c:pt idx="6">
                  <c:v>113</c:v>
                </c:pt>
                <c:pt idx="7">
                  <c:v>97</c:v>
                </c:pt>
                <c:pt idx="8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B8-4EE5-9909-E50D7AAE6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Vale Sans" panose="020B0503020204030204" pitchFamily="34" charset="0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1724721687105029"/>
          <c:y val="0.87222708629656331"/>
          <c:w val="0.36683296862239012"/>
          <c:h val="9.42106144667627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ale Sans" panose="020B0503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5F8FF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Vale Sans" panose="020B0503020204030204" pitchFamily="34" charset="0"/>
                <a:ea typeface="+mn-ea"/>
                <a:cs typeface="+mn-cs"/>
              </a:defRPr>
            </a:pPr>
            <a:r>
              <a:rPr lang="en-US" sz="1800" b="1" baseline="0">
                <a:latin typeface="Vale Sans" panose="020B0503020204030204" pitchFamily="34" charset="0"/>
              </a:rPr>
              <a:t>DRYER-CM</a:t>
            </a:r>
          </a:p>
          <a:p>
            <a:pPr>
              <a:defRPr sz="1800">
                <a:latin typeface="Vale Sans" panose="020B0503020204030204" pitchFamily="34" charset="0"/>
              </a:defRPr>
            </a:pPr>
            <a:r>
              <a:rPr lang="en-US" sz="1800" b="0" baseline="0">
                <a:latin typeface="Vale Sans" panose="020B0503020204030204" pitchFamily="34" charset="0"/>
              </a:rPr>
              <a:t>AFI's (Monthly)</a:t>
            </a:r>
            <a:endParaRPr lang="en-US" sz="1800" b="0">
              <a:latin typeface="Vale Sans" panose="020B0503020204030204" pitchFamily="34" charset="0"/>
            </a:endParaRPr>
          </a:p>
        </c:rich>
      </c:tx>
      <c:layout>
        <c:manualLayout>
          <c:xMode val="edge"/>
          <c:yMode val="edge"/>
          <c:x val="0.40249857678633422"/>
          <c:y val="2.8505558974487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Vale Sans" panose="020B0503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692438723968361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'2025 Plan AFI''s'!$A$7:$B$7</c:f>
              <c:strCache>
                <c:ptCount val="2"/>
                <c:pt idx="0">
                  <c:v>PLAN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6476584826907639E-3"/>
                  <c:y val="-3.758541186196256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A8D-419D-890F-E93BE2B75908}"/>
                </c:ext>
              </c:extLst>
            </c:dLbl>
            <c:dLbl>
              <c:idx val="2"/>
              <c:layout>
                <c:manualLayout>
                  <c:x val="0"/>
                  <c:y val="-6.473043154004666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A8D-419D-890F-E93BE2B75908}"/>
                </c:ext>
              </c:extLst>
            </c:dLbl>
            <c:dLbl>
              <c:idx val="5"/>
              <c:layout>
                <c:manualLayout>
                  <c:x val="-6.0413446464039177E-17"/>
                  <c:y val="-6.473043154004663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A8D-419D-890F-E93BE2B75908}"/>
                </c:ext>
              </c:extLst>
            </c:dLbl>
            <c:dLbl>
              <c:idx val="6"/>
              <c:layout>
                <c:manualLayout>
                  <c:x val="0"/>
                  <c:y val="-5.220196091939251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A8D-419D-890F-E93BE2B75908}"/>
                </c:ext>
              </c:extLst>
            </c:dLbl>
            <c:dLbl>
              <c:idx val="8"/>
              <c:layout>
                <c:manualLayout>
                  <c:x val="-1.2082689292807835E-16"/>
                  <c:y val="-2.791955043266863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A8D-419D-890F-E93BE2B759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Vale Sans" panose="020B0503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AFI''s'!$C$5:$N$5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 Plan AFI''s'!$C$7:$N$7</c:f>
              <c:numCache>
                <c:formatCode>0</c:formatCode>
                <c:ptCount val="12"/>
                <c:pt idx="0">
                  <c:v>200</c:v>
                </c:pt>
                <c:pt idx="1">
                  <c:v>170</c:v>
                </c:pt>
                <c:pt idx="2">
                  <c:v>140</c:v>
                </c:pt>
                <c:pt idx="3">
                  <c:v>110</c:v>
                </c:pt>
                <c:pt idx="4">
                  <c:v>80</c:v>
                </c:pt>
                <c:pt idx="5">
                  <c:v>70</c:v>
                </c:pt>
                <c:pt idx="6">
                  <c:v>50</c:v>
                </c:pt>
                <c:pt idx="7">
                  <c:v>30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8D-419D-890F-E93BE2B7590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5"/>
        <c:axId val="950571840"/>
        <c:axId val="95056716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'2025 Plan AFI''s'!$A$7:$B$7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AFI''s'!$C$7:$N$7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200</c:v>
                      </c:pt>
                      <c:pt idx="1">
                        <c:v>170</c:v>
                      </c:pt>
                      <c:pt idx="2">
                        <c:v>140</c:v>
                      </c:pt>
                      <c:pt idx="3">
                        <c:v>110</c:v>
                      </c:pt>
                      <c:pt idx="4">
                        <c:v>80</c:v>
                      </c:pt>
                      <c:pt idx="5">
                        <c:v>70</c:v>
                      </c:pt>
                      <c:pt idx="6">
                        <c:v>50</c:v>
                      </c:pt>
                      <c:pt idx="7">
                        <c:v>30</c:v>
                      </c:pt>
                      <c:pt idx="8">
                        <c:v>10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0A8D-419D-890F-E93BE2B75908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AFI''s'!$A$8:$B$8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AFI''s'!$C$8:$N$8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0.2</c:v>
                      </c:pt>
                      <c:pt idx="1">
                        <c:v>0.2</c:v>
                      </c:pt>
                      <c:pt idx="2">
                        <c:v>0.2</c:v>
                      </c:pt>
                      <c:pt idx="3">
                        <c:v>0.2</c:v>
                      </c:pt>
                      <c:pt idx="4">
                        <c:v>0.2</c:v>
                      </c:pt>
                      <c:pt idx="5">
                        <c:v>0.2</c:v>
                      </c:pt>
                      <c:pt idx="6">
                        <c:v>0.2</c:v>
                      </c:pt>
                      <c:pt idx="7">
                        <c:v>0.2</c:v>
                      </c:pt>
                      <c:pt idx="8">
                        <c:v>0.2</c:v>
                      </c:pt>
                      <c:pt idx="9">
                        <c:v>0.2</c:v>
                      </c:pt>
                      <c:pt idx="10">
                        <c:v>0.2</c:v>
                      </c:pt>
                      <c:pt idx="11">
                        <c:v>0.2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A8D-419D-890F-E93BE2B75908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AFI''s'!$A$9:$B$9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AFI''s'!$C$9:$N$9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5</c:v>
                      </c:pt>
                      <c:pt idx="1">
                        <c:v>5</c:v>
                      </c:pt>
                      <c:pt idx="2">
                        <c:v>3</c:v>
                      </c:pt>
                      <c:pt idx="3">
                        <c:v>0.3</c:v>
                      </c:pt>
                      <c:pt idx="4">
                        <c:v>0.3</c:v>
                      </c:pt>
                      <c:pt idx="5">
                        <c:v>0.3</c:v>
                      </c:pt>
                      <c:pt idx="6">
                        <c:v>0.3</c:v>
                      </c:pt>
                      <c:pt idx="7">
                        <c:v>0.3</c:v>
                      </c:pt>
                      <c:pt idx="8">
                        <c:v>0.3</c:v>
                      </c:pt>
                      <c:pt idx="9">
                        <c:v>0.3</c:v>
                      </c:pt>
                      <c:pt idx="10">
                        <c:v>0.3</c:v>
                      </c:pt>
                      <c:pt idx="11">
                        <c:v>0.3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A8D-419D-890F-E93BE2B75908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AFI''s'!$A$11:$B$11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AFI''s'!$C$11:$N$11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200</c:v>
                      </c:pt>
                      <c:pt idx="1">
                        <c:v>149</c:v>
                      </c:pt>
                      <c:pt idx="2">
                        <c:v>149</c:v>
                      </c:pt>
                      <c:pt idx="3">
                        <c:v>149</c:v>
                      </c:pt>
                      <c:pt idx="4">
                        <c:v>112</c:v>
                      </c:pt>
                      <c:pt idx="5">
                        <c:v>80</c:v>
                      </c:pt>
                      <c:pt idx="6">
                        <c:v>57</c:v>
                      </c:pt>
                      <c:pt idx="7">
                        <c:v>19</c:v>
                      </c:pt>
                      <c:pt idx="8">
                        <c:v>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A8D-419D-890F-E93BE2B75908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AFI''s'!$A$12:$B$12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AFI''s'!$C$12:$N$12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0.1</c:v>
                      </c:pt>
                      <c:pt idx="1">
                        <c:v>0.1</c:v>
                      </c:pt>
                      <c:pt idx="2">
                        <c:v>0.1</c:v>
                      </c:pt>
                      <c:pt idx="3">
                        <c:v>0.1</c:v>
                      </c:pt>
                      <c:pt idx="4">
                        <c:v>0.1</c:v>
                      </c:pt>
                      <c:pt idx="5">
                        <c:v>0.1</c:v>
                      </c:pt>
                      <c:pt idx="6">
                        <c:v>0.1</c:v>
                      </c:pt>
                      <c:pt idx="7">
                        <c:v>0.1</c:v>
                      </c:pt>
                      <c:pt idx="8">
                        <c:v>0.1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A8D-419D-890F-E93BE2B75908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AFI''s'!$A$13:$B$13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AFI''s'!$C$13:$N$13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5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A8D-419D-890F-E93BE2B75908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'2025 Plan AFI''s'!$A$11:$B$11</c:f>
              <c:strCache>
                <c:ptCount val="2"/>
                <c:pt idx="0">
                  <c:v>ACTUAL</c:v>
                </c:pt>
              </c:strCache>
            </c:strRef>
          </c:tx>
          <c:spPr>
            <a:ln w="38100" cap="rnd">
              <a:solidFill>
                <a:srgbClr val="2D8F78"/>
              </a:solidFill>
              <a:round/>
            </a:ln>
            <a:effectLst/>
          </c:spPr>
          <c:marker>
            <c:symbol val="x"/>
            <c:size val="30"/>
            <c:spPr>
              <a:solidFill>
                <a:srgbClr val="2D8F78"/>
              </a:solidFill>
              <a:ln w="38100">
                <a:solidFill>
                  <a:srgbClr val="2D8F7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Vale Sans" panose="020B0503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AFI''s'!$C$5:$N$5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 Plan AFI''s'!$C$11:$N$11</c:f>
              <c:numCache>
                <c:formatCode>0</c:formatCode>
                <c:ptCount val="12"/>
                <c:pt idx="0">
                  <c:v>200</c:v>
                </c:pt>
                <c:pt idx="1">
                  <c:v>149</c:v>
                </c:pt>
                <c:pt idx="2">
                  <c:v>149</c:v>
                </c:pt>
                <c:pt idx="3">
                  <c:v>149</c:v>
                </c:pt>
                <c:pt idx="4">
                  <c:v>112</c:v>
                </c:pt>
                <c:pt idx="5">
                  <c:v>80</c:v>
                </c:pt>
                <c:pt idx="6">
                  <c:v>57</c:v>
                </c:pt>
                <c:pt idx="7">
                  <c:v>19</c:v>
                </c:pt>
                <c:pt idx="8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8D-419D-890F-E93BE2B75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Vale Sans" panose="020B0503020204030204" pitchFamily="34" charset="0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1724721687105029"/>
          <c:y val="0.87222708629656331"/>
          <c:w val="0.36683296862239012"/>
          <c:h val="9.42106144667627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ale Sans" panose="020B0503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5F8FF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Vale Sans" panose="020B0503020204030204" pitchFamily="34" charset="0"/>
                <a:ea typeface="+mn-ea"/>
                <a:cs typeface="+mn-cs"/>
              </a:defRPr>
            </a:pPr>
            <a:r>
              <a:rPr lang="en-US" sz="1800" b="1" baseline="0">
                <a:latin typeface="Vale Sans" panose="020B0503020204030204" pitchFamily="34" charset="0"/>
              </a:rPr>
              <a:t>FURNACE</a:t>
            </a:r>
          </a:p>
          <a:p>
            <a:pPr>
              <a:defRPr sz="1800">
                <a:latin typeface="Vale Sans" panose="020B0503020204030204" pitchFamily="34" charset="0"/>
              </a:defRPr>
            </a:pPr>
            <a:r>
              <a:rPr lang="en-US" sz="1800" b="0" baseline="0">
                <a:latin typeface="Vale Sans" panose="020B0503020204030204" pitchFamily="34" charset="0"/>
              </a:rPr>
              <a:t>AFI's (Monthly)</a:t>
            </a:r>
            <a:endParaRPr lang="en-US" sz="1800" b="0">
              <a:latin typeface="Vale Sans" panose="020B0503020204030204" pitchFamily="34" charset="0"/>
            </a:endParaRPr>
          </a:p>
        </c:rich>
      </c:tx>
      <c:layout>
        <c:manualLayout>
          <c:xMode val="edge"/>
          <c:yMode val="edge"/>
          <c:x val="0.41238452768247885"/>
          <c:y val="2.8505558974487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Vale Sans" panose="020B0503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692438723968361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'2025 Plan AFI''s'!$A$8:$B$8</c:f>
              <c:strCache>
                <c:ptCount val="2"/>
                <c:pt idx="0">
                  <c:v>PLAN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Vale Sans" panose="020B0503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AFI''s'!$C$5:$N$5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 Plan AFI''s'!$C$8:$N$8</c:f>
              <c:numCache>
                <c:formatCode>0</c:formatCode>
                <c:ptCount val="12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70-4D97-9226-9F2FF9F06F1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5"/>
        <c:axId val="950571840"/>
        <c:axId val="95056716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'2025 Plan AFI''s'!$A$7:$B$7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bg1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Lbl>
                    <c:idx val="0"/>
                    <c:layout>
                      <c:manualLayout>
                        <c:x val="1.6476584826907639E-3"/>
                        <c:y val="-3.7585411861962563E-2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E28C-4D4C-BA4D-A2CD8420812A}"/>
                      </c:ext>
                    </c:extLst>
                  </c:dLbl>
                  <c:dLbl>
                    <c:idx val="2"/>
                    <c:layout>
                      <c:manualLayout>
                        <c:x val="0"/>
                        <c:y val="-6.4730431540046665E-2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E28C-4D4C-BA4D-A2CD8420812A}"/>
                      </c:ext>
                    </c:extLst>
                  </c:dLbl>
                  <c:dLbl>
                    <c:idx val="5"/>
                    <c:layout>
                      <c:manualLayout>
                        <c:x val="-6.0413446464039177E-17"/>
                        <c:y val="-6.4730431540046637E-2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E28C-4D4C-BA4D-A2CD8420812A}"/>
                      </c:ext>
                    </c:extLst>
                  </c:dLbl>
                  <c:dLbl>
                    <c:idx val="6"/>
                    <c:layout>
                      <c:manualLayout>
                        <c:x val="0"/>
                        <c:y val="-5.2201960919392519E-2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E28C-4D4C-BA4D-A2CD8420812A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Vale Sans" panose="020B050302020403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AFI''s'!$C$7:$N$7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200</c:v>
                      </c:pt>
                      <c:pt idx="1">
                        <c:v>170</c:v>
                      </c:pt>
                      <c:pt idx="2">
                        <c:v>140</c:v>
                      </c:pt>
                      <c:pt idx="3">
                        <c:v>110</c:v>
                      </c:pt>
                      <c:pt idx="4">
                        <c:v>80</c:v>
                      </c:pt>
                      <c:pt idx="5">
                        <c:v>70</c:v>
                      </c:pt>
                      <c:pt idx="6">
                        <c:v>50</c:v>
                      </c:pt>
                      <c:pt idx="7">
                        <c:v>30</c:v>
                      </c:pt>
                      <c:pt idx="8">
                        <c:v>10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1A70-4D97-9226-9F2FF9F06F15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AFI''s'!$A$8:$B$8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AFI''s'!$C$8:$N$8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0.2</c:v>
                      </c:pt>
                      <c:pt idx="1">
                        <c:v>0.2</c:v>
                      </c:pt>
                      <c:pt idx="2">
                        <c:v>0.2</c:v>
                      </c:pt>
                      <c:pt idx="3">
                        <c:v>0.2</c:v>
                      </c:pt>
                      <c:pt idx="4">
                        <c:v>0.2</c:v>
                      </c:pt>
                      <c:pt idx="5">
                        <c:v>0.2</c:v>
                      </c:pt>
                      <c:pt idx="6">
                        <c:v>0.2</c:v>
                      </c:pt>
                      <c:pt idx="7">
                        <c:v>0.2</c:v>
                      </c:pt>
                      <c:pt idx="8">
                        <c:v>0.2</c:v>
                      </c:pt>
                      <c:pt idx="9">
                        <c:v>0.2</c:v>
                      </c:pt>
                      <c:pt idx="10">
                        <c:v>0.2</c:v>
                      </c:pt>
                      <c:pt idx="11">
                        <c:v>0.2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A70-4D97-9226-9F2FF9F06F15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AFI''s'!$A$9:$B$9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AFI''s'!$C$9:$N$9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5</c:v>
                      </c:pt>
                      <c:pt idx="1">
                        <c:v>5</c:v>
                      </c:pt>
                      <c:pt idx="2">
                        <c:v>3</c:v>
                      </c:pt>
                      <c:pt idx="3">
                        <c:v>0.3</c:v>
                      </c:pt>
                      <c:pt idx="4">
                        <c:v>0.3</c:v>
                      </c:pt>
                      <c:pt idx="5">
                        <c:v>0.3</c:v>
                      </c:pt>
                      <c:pt idx="6">
                        <c:v>0.3</c:v>
                      </c:pt>
                      <c:pt idx="7">
                        <c:v>0.3</c:v>
                      </c:pt>
                      <c:pt idx="8">
                        <c:v>0.3</c:v>
                      </c:pt>
                      <c:pt idx="9">
                        <c:v>0.3</c:v>
                      </c:pt>
                      <c:pt idx="10">
                        <c:v>0.3</c:v>
                      </c:pt>
                      <c:pt idx="11">
                        <c:v>0.3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1A70-4D97-9226-9F2FF9F06F15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AFI''s'!$A$11:$B$11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 w="38100">
                    <a:solidFill>
                      <a:srgbClr val="2D8F78"/>
                    </a:solidFill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2000" b="1" i="0" u="none" strike="noStrike" kern="1200" baseline="0">
                          <a:solidFill>
                            <a:schemeClr val="bg1"/>
                          </a:solidFill>
                          <a:latin typeface="Vale Sans" panose="020B050302020403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AFI''s'!$C$11:$N$11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200</c:v>
                      </c:pt>
                      <c:pt idx="1">
                        <c:v>149</c:v>
                      </c:pt>
                      <c:pt idx="2">
                        <c:v>149</c:v>
                      </c:pt>
                      <c:pt idx="3">
                        <c:v>149</c:v>
                      </c:pt>
                      <c:pt idx="4">
                        <c:v>112</c:v>
                      </c:pt>
                      <c:pt idx="5">
                        <c:v>80</c:v>
                      </c:pt>
                      <c:pt idx="6">
                        <c:v>57</c:v>
                      </c:pt>
                      <c:pt idx="7">
                        <c:v>19</c:v>
                      </c:pt>
                      <c:pt idx="8">
                        <c:v>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1A70-4D97-9226-9F2FF9F06F15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AFI''s'!$A$12:$B$12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AFI''s'!$C$12:$N$12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0.1</c:v>
                      </c:pt>
                      <c:pt idx="1">
                        <c:v>0.1</c:v>
                      </c:pt>
                      <c:pt idx="2">
                        <c:v>0.1</c:v>
                      </c:pt>
                      <c:pt idx="3">
                        <c:v>0.1</c:v>
                      </c:pt>
                      <c:pt idx="4">
                        <c:v>0.1</c:v>
                      </c:pt>
                      <c:pt idx="5">
                        <c:v>0.1</c:v>
                      </c:pt>
                      <c:pt idx="6">
                        <c:v>0.1</c:v>
                      </c:pt>
                      <c:pt idx="7">
                        <c:v>0.1</c:v>
                      </c:pt>
                      <c:pt idx="8">
                        <c:v>0.1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1A70-4D97-9226-9F2FF9F06F15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AFI''s'!$A$13:$B$13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AFI''s'!$C$13:$N$13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5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1A70-4D97-9226-9F2FF9F06F1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'2025 Plan AFI''s'!$A$12:$B$12</c:f>
              <c:strCache>
                <c:ptCount val="2"/>
                <c:pt idx="0">
                  <c:v>ACTUAL</c:v>
                </c:pt>
              </c:strCache>
            </c:strRef>
          </c:tx>
          <c:spPr>
            <a:ln w="38100" cap="rnd">
              <a:solidFill>
                <a:srgbClr val="2D8F78"/>
              </a:solidFill>
              <a:round/>
            </a:ln>
            <a:effectLst/>
          </c:spPr>
          <c:marker>
            <c:symbol val="x"/>
            <c:size val="25"/>
            <c:spPr>
              <a:solidFill>
                <a:srgbClr val="2D8F78"/>
              </a:solidFill>
              <a:ln w="38100">
                <a:solidFill>
                  <a:srgbClr val="2D8F7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Vale Sans" panose="020B0503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AFI''s'!$C$5:$N$5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 Plan AFI''s'!$C$12:$N$12</c:f>
              <c:numCache>
                <c:formatCode>0</c:formatCode>
                <c:ptCount val="12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A70-4D97-9226-9F2FF9F06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Vale Sans" panose="020B0503020204030204" pitchFamily="34" charset="0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  <c:max val="3"/>
        </c:scaling>
        <c:delete val="1"/>
        <c:axPos val="l"/>
        <c:numFmt formatCode="0" sourceLinked="1"/>
        <c:majorTickMark val="out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1724721687105029"/>
          <c:y val="0.87222708629656331"/>
          <c:w val="0.36683296862239012"/>
          <c:h val="9.42106144667627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ale Sans" panose="020B0503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5F8FF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Vale Sans" panose="020B0503020204030204" pitchFamily="34" charset="0"/>
                <a:ea typeface="+mn-ea"/>
                <a:cs typeface="+mn-cs"/>
              </a:defRPr>
            </a:pPr>
            <a:r>
              <a:rPr lang="en-US" sz="1800" b="1" baseline="0">
                <a:latin typeface="Vale Sans" panose="020B0503020204030204" pitchFamily="34" charset="0"/>
              </a:rPr>
              <a:t>CONVERTER</a:t>
            </a:r>
          </a:p>
          <a:p>
            <a:pPr>
              <a:defRPr sz="1800">
                <a:latin typeface="Vale Sans" panose="020B0503020204030204" pitchFamily="34" charset="0"/>
              </a:defRPr>
            </a:pPr>
            <a:r>
              <a:rPr lang="en-US" sz="1800" b="0" baseline="0">
                <a:latin typeface="Vale Sans" panose="020B0503020204030204" pitchFamily="34" charset="0"/>
              </a:rPr>
              <a:t>AFI's (Monthly)</a:t>
            </a:r>
            <a:endParaRPr lang="en-US" sz="1800" b="0">
              <a:latin typeface="Vale Sans" panose="020B0503020204030204" pitchFamily="34" charset="0"/>
            </a:endParaRPr>
          </a:p>
        </c:rich>
      </c:tx>
      <c:layout>
        <c:manualLayout>
          <c:xMode val="edge"/>
          <c:yMode val="edge"/>
          <c:x val="0.41238452768247885"/>
          <c:y val="2.8505558974487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Vale Sans" panose="020B0503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692438723968361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'2025 Plan AFI''s'!$A$9:$B$9</c:f>
              <c:strCache>
                <c:ptCount val="2"/>
                <c:pt idx="0">
                  <c:v>PLAN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7.5516808080048971E-18"/>
                  <c:y val="-2.088078436775701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6E8-4049-ABFD-E6CE64D49E18}"/>
                </c:ext>
              </c:extLst>
            </c:dLbl>
            <c:dLbl>
              <c:idx val="2"/>
              <c:layout>
                <c:manualLayout>
                  <c:x val="-1.6476584826907639E-3"/>
                  <c:y val="-2.714501967808407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6E8-4049-ABFD-E6CE64D49E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Vale Sans" panose="020B0503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AFI''s'!$C$5:$N$5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 Plan AFI''s'!$C$9:$N$9</c:f>
              <c:numCache>
                <c:formatCode>0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E8-4049-ABFD-E6CE64D49E1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5"/>
        <c:axId val="950571840"/>
        <c:axId val="95056716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'2025 Plan AFI''s'!$A$7:$B$7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bg1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Lbl>
                    <c:idx val="0"/>
                    <c:layout>
                      <c:manualLayout>
                        <c:x val="1.6476584826907639E-3"/>
                        <c:y val="-3.7585411861962563E-2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B6E8-4049-ABFD-E6CE64D49E18}"/>
                      </c:ext>
                    </c:extLst>
                  </c:dLbl>
                  <c:dLbl>
                    <c:idx val="2"/>
                    <c:layout>
                      <c:manualLayout>
                        <c:x val="0"/>
                        <c:y val="-6.4730431540046665E-2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B6E8-4049-ABFD-E6CE64D49E18}"/>
                      </c:ext>
                    </c:extLst>
                  </c:dLbl>
                  <c:dLbl>
                    <c:idx val="5"/>
                    <c:layout>
                      <c:manualLayout>
                        <c:x val="-6.0413446464039177E-17"/>
                        <c:y val="-6.4730431540046637E-2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B6E8-4049-ABFD-E6CE64D49E18}"/>
                      </c:ext>
                    </c:extLst>
                  </c:dLbl>
                  <c:dLbl>
                    <c:idx val="6"/>
                    <c:layout>
                      <c:manualLayout>
                        <c:x val="0"/>
                        <c:y val="-5.2201960919392519E-2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5-B6E8-4049-ABFD-E6CE64D49E1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Vale Sans" panose="020B050302020403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AFI''s'!$C$7:$N$7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200</c:v>
                      </c:pt>
                      <c:pt idx="1">
                        <c:v>170</c:v>
                      </c:pt>
                      <c:pt idx="2">
                        <c:v>140</c:v>
                      </c:pt>
                      <c:pt idx="3">
                        <c:v>110</c:v>
                      </c:pt>
                      <c:pt idx="4">
                        <c:v>80</c:v>
                      </c:pt>
                      <c:pt idx="5">
                        <c:v>70</c:v>
                      </c:pt>
                      <c:pt idx="6">
                        <c:v>50</c:v>
                      </c:pt>
                      <c:pt idx="7">
                        <c:v>30</c:v>
                      </c:pt>
                      <c:pt idx="8">
                        <c:v>10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B6E8-4049-ABFD-E6CE64D49E18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AFI''s'!$A$8:$B$8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bg1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Vale Sans" panose="020B050302020403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AFI''s'!$C$8:$N$8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0.2</c:v>
                      </c:pt>
                      <c:pt idx="1">
                        <c:v>0.2</c:v>
                      </c:pt>
                      <c:pt idx="2">
                        <c:v>0.2</c:v>
                      </c:pt>
                      <c:pt idx="3">
                        <c:v>0.2</c:v>
                      </c:pt>
                      <c:pt idx="4">
                        <c:v>0.2</c:v>
                      </c:pt>
                      <c:pt idx="5">
                        <c:v>0.2</c:v>
                      </c:pt>
                      <c:pt idx="6">
                        <c:v>0.2</c:v>
                      </c:pt>
                      <c:pt idx="7">
                        <c:v>0.2</c:v>
                      </c:pt>
                      <c:pt idx="8">
                        <c:v>0.2</c:v>
                      </c:pt>
                      <c:pt idx="9">
                        <c:v>0.2</c:v>
                      </c:pt>
                      <c:pt idx="10">
                        <c:v>0.2</c:v>
                      </c:pt>
                      <c:pt idx="11">
                        <c:v>0.2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6E8-4049-ABFD-E6CE64D49E18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AFI''s'!$A$9:$B$9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AFI''s'!$C$9:$N$9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5</c:v>
                      </c:pt>
                      <c:pt idx="1">
                        <c:v>5</c:v>
                      </c:pt>
                      <c:pt idx="2">
                        <c:v>3</c:v>
                      </c:pt>
                      <c:pt idx="3">
                        <c:v>0.3</c:v>
                      </c:pt>
                      <c:pt idx="4">
                        <c:v>0.3</c:v>
                      </c:pt>
                      <c:pt idx="5">
                        <c:v>0.3</c:v>
                      </c:pt>
                      <c:pt idx="6">
                        <c:v>0.3</c:v>
                      </c:pt>
                      <c:pt idx="7">
                        <c:v>0.3</c:v>
                      </c:pt>
                      <c:pt idx="8">
                        <c:v>0.3</c:v>
                      </c:pt>
                      <c:pt idx="9">
                        <c:v>0.3</c:v>
                      </c:pt>
                      <c:pt idx="10">
                        <c:v>0.3</c:v>
                      </c:pt>
                      <c:pt idx="11">
                        <c:v>0.3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6E8-4049-ABFD-E6CE64D49E18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AFI''s'!$A$11:$B$11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 w="38100">
                    <a:solidFill>
                      <a:srgbClr val="2D8F78"/>
                    </a:solidFill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2000" b="1" i="0" u="none" strike="noStrike" kern="1200" baseline="0">
                          <a:solidFill>
                            <a:schemeClr val="bg1"/>
                          </a:solidFill>
                          <a:latin typeface="Vale Sans" panose="020B050302020403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AFI''s'!$C$11:$N$11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200</c:v>
                      </c:pt>
                      <c:pt idx="1">
                        <c:v>149</c:v>
                      </c:pt>
                      <c:pt idx="2">
                        <c:v>149</c:v>
                      </c:pt>
                      <c:pt idx="3">
                        <c:v>149</c:v>
                      </c:pt>
                      <c:pt idx="4">
                        <c:v>112</c:v>
                      </c:pt>
                      <c:pt idx="5">
                        <c:v>80</c:v>
                      </c:pt>
                      <c:pt idx="6">
                        <c:v>57</c:v>
                      </c:pt>
                      <c:pt idx="7">
                        <c:v>19</c:v>
                      </c:pt>
                      <c:pt idx="8">
                        <c:v>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B6E8-4049-ABFD-E6CE64D49E18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AFI''s'!$A$12:$B$12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 w="38100">
                    <a:solidFill>
                      <a:srgbClr val="2D8F78"/>
                    </a:solidFill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2000" b="1" i="0" u="none" strike="noStrike" kern="1200" baseline="0">
                          <a:solidFill>
                            <a:schemeClr val="bg1"/>
                          </a:solidFill>
                          <a:latin typeface="Vale Sans" panose="020B050302020403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AFI''s'!$C$12:$N$12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0.1</c:v>
                      </c:pt>
                      <c:pt idx="1">
                        <c:v>0.1</c:v>
                      </c:pt>
                      <c:pt idx="2">
                        <c:v>0.1</c:v>
                      </c:pt>
                      <c:pt idx="3">
                        <c:v>0.1</c:v>
                      </c:pt>
                      <c:pt idx="4">
                        <c:v>0.1</c:v>
                      </c:pt>
                      <c:pt idx="5">
                        <c:v>0.1</c:v>
                      </c:pt>
                      <c:pt idx="6">
                        <c:v>0.1</c:v>
                      </c:pt>
                      <c:pt idx="7">
                        <c:v>0.1</c:v>
                      </c:pt>
                      <c:pt idx="8">
                        <c:v>0.1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B6E8-4049-ABFD-E6CE64D49E18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AFI''s'!$A$13:$B$13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AFI''s'!$C$13:$N$13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5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B6E8-4049-ABFD-E6CE64D49E18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'2025 Plan AFI''s'!$A$13:$B$13</c:f>
              <c:strCache>
                <c:ptCount val="2"/>
                <c:pt idx="0">
                  <c:v>ACTUAL</c:v>
                </c:pt>
              </c:strCache>
            </c:strRef>
          </c:tx>
          <c:spPr>
            <a:ln w="38100" cap="rnd">
              <a:solidFill>
                <a:srgbClr val="2D8F78"/>
              </a:solidFill>
              <a:round/>
            </a:ln>
            <a:effectLst/>
          </c:spPr>
          <c:marker>
            <c:symbol val="x"/>
            <c:size val="25"/>
            <c:spPr>
              <a:solidFill>
                <a:srgbClr val="2D8F78"/>
              </a:solidFill>
              <a:ln w="38100">
                <a:solidFill>
                  <a:srgbClr val="2D8F7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Vale Sans" panose="020B0503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AFI''s'!$C$5:$N$5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 Plan AFI''s'!$C$13:$N$13</c:f>
              <c:numCache>
                <c:formatCode>0</c:formatCode>
                <c:ptCount val="12"/>
                <c:pt idx="0">
                  <c:v>5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E8-4049-ABFD-E6CE64D49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Vale Sans" panose="020B0503020204030204" pitchFamily="34" charset="0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  <c:max val="8"/>
        </c:scaling>
        <c:delete val="1"/>
        <c:axPos val="l"/>
        <c:numFmt formatCode="0" sourceLinked="1"/>
        <c:majorTickMark val="out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1724721687105029"/>
          <c:y val="0.87222708629656331"/>
          <c:w val="0.36683296862239012"/>
          <c:h val="9.42106144667627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ale Sans" panose="020B0503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5F8FF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baseline="0"/>
              <a:t>KILN - CTS</a:t>
            </a:r>
          </a:p>
          <a:p>
            <a:pPr>
              <a:defRPr sz="1800"/>
            </a:pPr>
            <a:r>
              <a:rPr lang="en-US" sz="2000" b="0" baseline="0"/>
              <a:t>Shortbranches (Monthly)</a:t>
            </a:r>
            <a:endParaRPr lang="en-US" sz="2000" b="0"/>
          </a:p>
        </c:rich>
      </c:tx>
      <c:layout>
        <c:manualLayout>
          <c:xMode val="edge"/>
          <c:yMode val="edge"/>
          <c:x val="0.34772763909808607"/>
          <c:y val="1.79123161265373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73122411781860597"/>
        </c:manualLayout>
      </c:layout>
      <c:lineChart>
        <c:grouping val="standard"/>
        <c:varyColors val="0"/>
        <c:ser>
          <c:idx val="0"/>
          <c:order val="0"/>
          <c:tx>
            <c:strRef>
              <c:f>'2025 Plan Shortbranches '!$A$6:$B$6</c:f>
              <c:strCache>
                <c:ptCount val="2"/>
                <c:pt idx="0">
                  <c:v>PLAN</c:v>
                </c:pt>
              </c:strCache>
            </c:strRef>
          </c:tx>
          <c:spPr>
            <a:ln w="3810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25"/>
            <c:spPr>
              <a:solidFill>
                <a:schemeClr val="tx1">
                  <a:lumMod val="50000"/>
                  <a:lumOff val="50000"/>
                </a:schemeClr>
              </a:solidFill>
              <a:ln w="3810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Shortbranches 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 Plan Shortbranches '!$C$6:$N$6</c:f>
              <c:numCache>
                <c:formatCode>0</c:formatCode>
                <c:ptCount val="12"/>
                <c:pt idx="0">
                  <c:v>0.08</c:v>
                </c:pt>
                <c:pt idx="1">
                  <c:v>0.08</c:v>
                </c:pt>
                <c:pt idx="2">
                  <c:v>0.08</c:v>
                </c:pt>
                <c:pt idx="3">
                  <c:v>0.08</c:v>
                </c:pt>
                <c:pt idx="4">
                  <c:v>0.08</c:v>
                </c:pt>
                <c:pt idx="5">
                  <c:v>0.08</c:v>
                </c:pt>
                <c:pt idx="6">
                  <c:v>0.08</c:v>
                </c:pt>
                <c:pt idx="7">
                  <c:v>0.08</c:v>
                </c:pt>
                <c:pt idx="8">
                  <c:v>0.08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22-4506-A630-AB4A85419CAF}"/>
            </c:ext>
          </c:extLst>
        </c:ser>
        <c:ser>
          <c:idx val="4"/>
          <c:order val="4"/>
          <c:tx>
            <c:strRef>
              <c:f>'2025 Plan Shortbranches '!$A$10:$B$10</c:f>
              <c:strCache>
                <c:ptCount val="2"/>
                <c:pt idx="0">
                  <c:v>ACTUAL</c:v>
                </c:pt>
              </c:strCache>
            </c:strRef>
          </c:tx>
          <c:spPr>
            <a:ln w="38100" cap="rnd">
              <a:solidFill>
                <a:srgbClr val="2D8F78"/>
              </a:solidFill>
              <a:round/>
            </a:ln>
            <a:effectLst/>
          </c:spPr>
          <c:marker>
            <c:symbol val="circle"/>
            <c:size val="25"/>
            <c:spPr>
              <a:solidFill>
                <a:srgbClr val="2D8F78"/>
              </a:solidFill>
              <a:ln w="38100">
                <a:solidFill>
                  <a:srgbClr val="2D8F7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Shortbranches 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 Plan Shortbranches '!$C$10:$N$10</c:f>
              <c:numCache>
                <c:formatCode>0</c:formatCode>
                <c:ptCount val="12"/>
                <c:pt idx="0">
                  <c:v>0.05</c:v>
                </c:pt>
                <c:pt idx="1">
                  <c:v>1</c:v>
                </c:pt>
                <c:pt idx="2">
                  <c:v>1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22-4506-A630-AB4A85419CA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'2025 Plan Shortbranches '!$A$7:$B$7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ormulaRef>
                          <c15:sqref>'2025 Plan Shortbranches 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Shortbranches '!$C$7:$N$7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14</c:v>
                      </c:pt>
                      <c:pt idx="1">
                        <c:v>8</c:v>
                      </c:pt>
                      <c:pt idx="2">
                        <c:v>0.4</c:v>
                      </c:pt>
                      <c:pt idx="3">
                        <c:v>0.4</c:v>
                      </c:pt>
                      <c:pt idx="4">
                        <c:v>0.4</c:v>
                      </c:pt>
                      <c:pt idx="5">
                        <c:v>0.4</c:v>
                      </c:pt>
                      <c:pt idx="6">
                        <c:v>0.4</c:v>
                      </c:pt>
                      <c:pt idx="7">
                        <c:v>0.4</c:v>
                      </c:pt>
                      <c:pt idx="8">
                        <c:v>0.4</c:v>
                      </c:pt>
                      <c:pt idx="9">
                        <c:v>0.4</c:v>
                      </c:pt>
                      <c:pt idx="10">
                        <c:v>0.4</c:v>
                      </c:pt>
                      <c:pt idx="11">
                        <c:v>0.4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A22-4506-A630-AB4A85419CA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'!$A$8:$B$8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'!$C$8:$N$8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5</c:v>
                      </c:pt>
                      <c:pt idx="1">
                        <c:v>5</c:v>
                      </c:pt>
                      <c:pt idx="2">
                        <c:v>3</c:v>
                      </c:pt>
                      <c:pt idx="3">
                        <c:v>1</c:v>
                      </c:pt>
                      <c:pt idx="4">
                        <c:v>0.26</c:v>
                      </c:pt>
                      <c:pt idx="5">
                        <c:v>0.26</c:v>
                      </c:pt>
                      <c:pt idx="6">
                        <c:v>0.26</c:v>
                      </c:pt>
                      <c:pt idx="7">
                        <c:v>0.26</c:v>
                      </c:pt>
                      <c:pt idx="8">
                        <c:v>0.26</c:v>
                      </c:pt>
                      <c:pt idx="9">
                        <c:v>0.26</c:v>
                      </c:pt>
                      <c:pt idx="10">
                        <c:v>0.26</c:v>
                      </c:pt>
                      <c:pt idx="11">
                        <c:v>0.26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A22-4506-A630-AB4A85419CA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'!$A$9:$B$9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dLbl>
                    <c:idx val="4"/>
                    <c:layout>
                      <c:manualLayout>
                        <c:x val="-2.0246911294959619E-2"/>
                        <c:y val="-1.3231416683475725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4-BA22-4506-A630-AB4A85419CAF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'!$C$9:$N$9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0.08</c:v>
                      </c:pt>
                      <c:pt idx="1">
                        <c:v>0.08</c:v>
                      </c:pt>
                      <c:pt idx="2">
                        <c:v>0.08</c:v>
                      </c:pt>
                      <c:pt idx="3">
                        <c:v>0.08</c:v>
                      </c:pt>
                      <c:pt idx="4">
                        <c:v>0.08</c:v>
                      </c:pt>
                      <c:pt idx="5">
                        <c:v>0.08</c:v>
                      </c:pt>
                      <c:pt idx="6">
                        <c:v>0.08</c:v>
                      </c:pt>
                      <c:pt idx="7">
                        <c:v>0.08</c:v>
                      </c:pt>
                      <c:pt idx="8">
                        <c:v>0.08</c:v>
                      </c:pt>
                      <c:pt idx="9">
                        <c:v>0.08</c:v>
                      </c:pt>
                      <c:pt idx="10">
                        <c:v>0.08</c:v>
                      </c:pt>
                      <c:pt idx="11">
                        <c:v>0.08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A22-4506-A630-AB4A85419CA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'!$A$11:$B$11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'!$C$11:$N$11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14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4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A22-4506-A630-AB4A85419CA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'!$A$12:$B$12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'!$C$12:$N$12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3</c:v>
                      </c:pt>
                      <c:pt idx="6">
                        <c:v>2</c:v>
                      </c:pt>
                      <c:pt idx="7">
                        <c:v>3</c:v>
                      </c:pt>
                      <c:pt idx="8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A22-4506-A630-AB4A85419CAF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'!$A$13:$B$13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'!$C$13:$N$13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0.05</c:v>
                      </c:pt>
                      <c:pt idx="1">
                        <c:v>0.05</c:v>
                      </c:pt>
                      <c:pt idx="2">
                        <c:v>0.05</c:v>
                      </c:pt>
                      <c:pt idx="3">
                        <c:v>0.05</c:v>
                      </c:pt>
                      <c:pt idx="4">
                        <c:v>0.05</c:v>
                      </c:pt>
                      <c:pt idx="5">
                        <c:v>0.05</c:v>
                      </c:pt>
                      <c:pt idx="6">
                        <c:v>0.05</c:v>
                      </c:pt>
                      <c:pt idx="7">
                        <c:v>0.05</c:v>
                      </c:pt>
                      <c:pt idx="8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A22-4506-A630-AB4A85419CAF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745922537242497"/>
          <c:y val="0.92478267560920302"/>
          <c:w val="0.30314175503243357"/>
          <c:h val="6.97318703286684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baseline="0"/>
              <a:t>DRYER-COALMILL</a:t>
            </a:r>
          </a:p>
          <a:p>
            <a:pPr>
              <a:defRPr sz="1800"/>
            </a:pPr>
            <a:r>
              <a:rPr lang="en-US" sz="2000" b="0" baseline="0"/>
              <a:t>Shortbranches (Monthly)</a:t>
            </a:r>
            <a:endParaRPr lang="en-US" sz="2000" b="0"/>
          </a:p>
        </c:rich>
      </c:tx>
      <c:layout>
        <c:manualLayout>
          <c:xMode val="edge"/>
          <c:yMode val="edge"/>
          <c:x val="0.32641317607397563"/>
          <c:y val="1.57880416798417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73122411781860597"/>
        </c:manualLayout>
      </c:layout>
      <c:lineChart>
        <c:grouping val="standard"/>
        <c:varyColors val="0"/>
        <c:ser>
          <c:idx val="1"/>
          <c:order val="1"/>
          <c:tx>
            <c:strRef>
              <c:f>'2025 Plan Shortbranches '!$A$7:$B$7</c:f>
              <c:strCache>
                <c:ptCount val="2"/>
                <c:pt idx="0">
                  <c:v>PLAN</c:v>
                </c:pt>
              </c:strCache>
            </c:strRef>
          </c:tx>
          <c:spPr>
            <a:ln w="3810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28"/>
            <c:spPr>
              <a:solidFill>
                <a:schemeClr val="tx1">
                  <a:lumMod val="50000"/>
                  <a:lumOff val="50000"/>
                </a:schemeClr>
              </a:solidFill>
              <a:ln w="3810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Shortbranches 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 Plan Shortbranches '!$C$7:$N$7</c:f>
              <c:numCache>
                <c:formatCode>0</c:formatCode>
                <c:ptCount val="12"/>
                <c:pt idx="0">
                  <c:v>14</c:v>
                </c:pt>
                <c:pt idx="1">
                  <c:v>8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E8C2-422C-AA4B-5DF5D5B7B3A2}"/>
            </c:ext>
          </c:extLst>
        </c:ser>
        <c:ser>
          <c:idx val="5"/>
          <c:order val="5"/>
          <c:tx>
            <c:strRef>
              <c:f>'2025 Plan Shortbranches '!$A$11:$B$11</c:f>
              <c:strCache>
                <c:ptCount val="2"/>
                <c:pt idx="0">
                  <c:v>ACTUAL</c:v>
                </c:pt>
              </c:strCache>
            </c:strRef>
          </c:tx>
          <c:spPr>
            <a:ln w="38100" cap="rnd">
              <a:solidFill>
                <a:srgbClr val="2D8F78"/>
              </a:solidFill>
              <a:round/>
            </a:ln>
            <a:effectLst/>
          </c:spPr>
          <c:marker>
            <c:symbol val="circle"/>
            <c:size val="28"/>
            <c:spPr>
              <a:solidFill>
                <a:srgbClr val="2D8F78"/>
              </a:solidFill>
              <a:ln w="38100">
                <a:solidFill>
                  <a:srgbClr val="2D8F7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Shortbranches 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 Plan Shortbranches '!$C$11:$N$11</c:f>
              <c:numCache>
                <c:formatCode>0</c:formatCode>
                <c:ptCount val="12"/>
                <c:pt idx="0">
                  <c:v>14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8C2-422C-AA4B-5DF5D5B7B3A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'2025 Plan Shortbranches '!$A$6:$B$6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bg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25"/>
                  <c:spPr>
                    <a:solidFill>
                      <a:schemeClr val="bg1">
                        <a:lumMod val="50000"/>
                      </a:schemeClr>
                    </a:solidFill>
                    <a:ln w="9525">
                      <a:solidFill>
                        <a:schemeClr val="bg1">
                          <a:lumMod val="5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'2025 Plan Shortbranches 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Shortbranches '!$C$6:$N$6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0.08</c:v>
                      </c:pt>
                      <c:pt idx="1">
                        <c:v>0.08</c:v>
                      </c:pt>
                      <c:pt idx="2">
                        <c:v>0.08</c:v>
                      </c:pt>
                      <c:pt idx="3">
                        <c:v>0.08</c:v>
                      </c:pt>
                      <c:pt idx="4">
                        <c:v>0.08</c:v>
                      </c:pt>
                      <c:pt idx="5">
                        <c:v>0.08</c:v>
                      </c:pt>
                      <c:pt idx="6">
                        <c:v>0.08</c:v>
                      </c:pt>
                      <c:pt idx="7">
                        <c:v>0.08</c:v>
                      </c:pt>
                      <c:pt idx="8">
                        <c:v>0.08</c:v>
                      </c:pt>
                      <c:pt idx="9">
                        <c:v>0.08</c:v>
                      </c:pt>
                      <c:pt idx="10">
                        <c:v>0.08</c:v>
                      </c:pt>
                      <c:pt idx="11">
                        <c:v>0.08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E8C2-422C-AA4B-5DF5D5B7B3A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'!$A$8:$B$8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'!$C$8:$N$8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5</c:v>
                      </c:pt>
                      <c:pt idx="1">
                        <c:v>5</c:v>
                      </c:pt>
                      <c:pt idx="2">
                        <c:v>3</c:v>
                      </c:pt>
                      <c:pt idx="3">
                        <c:v>1</c:v>
                      </c:pt>
                      <c:pt idx="4">
                        <c:v>0.26</c:v>
                      </c:pt>
                      <c:pt idx="5">
                        <c:v>0.26</c:v>
                      </c:pt>
                      <c:pt idx="6">
                        <c:v>0.26</c:v>
                      </c:pt>
                      <c:pt idx="7">
                        <c:v>0.26</c:v>
                      </c:pt>
                      <c:pt idx="8">
                        <c:v>0.26</c:v>
                      </c:pt>
                      <c:pt idx="9">
                        <c:v>0.26</c:v>
                      </c:pt>
                      <c:pt idx="10">
                        <c:v>0.26</c:v>
                      </c:pt>
                      <c:pt idx="11">
                        <c:v>0.26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8C2-422C-AA4B-5DF5D5B7B3A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'!$A$9:$B$9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dLbl>
                    <c:idx val="4"/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4-E8C2-422C-AA4B-5DF5D5B7B3A2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'!$C$9:$N$9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0.08</c:v>
                      </c:pt>
                      <c:pt idx="1">
                        <c:v>0.08</c:v>
                      </c:pt>
                      <c:pt idx="2">
                        <c:v>0.08</c:v>
                      </c:pt>
                      <c:pt idx="3">
                        <c:v>0.08</c:v>
                      </c:pt>
                      <c:pt idx="4">
                        <c:v>0.08</c:v>
                      </c:pt>
                      <c:pt idx="5">
                        <c:v>0.08</c:v>
                      </c:pt>
                      <c:pt idx="6">
                        <c:v>0.08</c:v>
                      </c:pt>
                      <c:pt idx="7">
                        <c:v>0.08</c:v>
                      </c:pt>
                      <c:pt idx="8">
                        <c:v>0.08</c:v>
                      </c:pt>
                      <c:pt idx="9">
                        <c:v>0.08</c:v>
                      </c:pt>
                      <c:pt idx="10">
                        <c:v>0.08</c:v>
                      </c:pt>
                      <c:pt idx="11">
                        <c:v>0.08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8C2-422C-AA4B-5DF5D5B7B3A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'!$A$10:$B$10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2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'!$C$10:$N$10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0.05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0.05</c:v>
                      </c:pt>
                      <c:pt idx="4">
                        <c:v>0.05</c:v>
                      </c:pt>
                      <c:pt idx="5">
                        <c:v>0.05</c:v>
                      </c:pt>
                      <c:pt idx="6">
                        <c:v>0.05</c:v>
                      </c:pt>
                      <c:pt idx="7">
                        <c:v>0.05</c:v>
                      </c:pt>
                      <c:pt idx="8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8C2-422C-AA4B-5DF5D5B7B3A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'!$A$12:$B$12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'!$C$12:$N$12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3</c:v>
                      </c:pt>
                      <c:pt idx="6">
                        <c:v>2</c:v>
                      </c:pt>
                      <c:pt idx="7">
                        <c:v>3</c:v>
                      </c:pt>
                      <c:pt idx="8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8C2-422C-AA4B-5DF5D5B7B3A2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'!$A$13:$B$13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'!$C$13:$N$13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0.05</c:v>
                      </c:pt>
                      <c:pt idx="1">
                        <c:v>0.05</c:v>
                      </c:pt>
                      <c:pt idx="2">
                        <c:v>0.05</c:v>
                      </c:pt>
                      <c:pt idx="3">
                        <c:v>0.05</c:v>
                      </c:pt>
                      <c:pt idx="4">
                        <c:v>0.05</c:v>
                      </c:pt>
                      <c:pt idx="5">
                        <c:v>0.05</c:v>
                      </c:pt>
                      <c:pt idx="6">
                        <c:v>0.05</c:v>
                      </c:pt>
                      <c:pt idx="7">
                        <c:v>0.05</c:v>
                      </c:pt>
                      <c:pt idx="8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8C2-422C-AA4B-5DF5D5B7B3A2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6248880584186344"/>
          <c:y val="0.92065044554875852"/>
          <c:w val="0.28231325743043795"/>
          <c:h val="6.97318703286684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baseline="0"/>
              <a:t>FURNACE</a:t>
            </a:r>
          </a:p>
          <a:p>
            <a:pPr>
              <a:defRPr sz="2000"/>
            </a:pPr>
            <a:r>
              <a:rPr lang="en-US" sz="2000" b="0" baseline="0"/>
              <a:t>Shortbranches (Monthly)</a:t>
            </a:r>
            <a:endParaRPr lang="en-US" sz="2000" b="0"/>
          </a:p>
        </c:rich>
      </c:tx>
      <c:layout>
        <c:manualLayout>
          <c:xMode val="edge"/>
          <c:yMode val="edge"/>
          <c:x val="0.33335715362108148"/>
          <c:y val="2.00330374315034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73122411781860597"/>
        </c:manualLayout>
      </c:layout>
      <c:lineChart>
        <c:grouping val="standard"/>
        <c:varyColors val="0"/>
        <c:ser>
          <c:idx val="2"/>
          <c:order val="2"/>
          <c:tx>
            <c:strRef>
              <c:f>'2025 Plan Shortbranches '!$A$8:$B$8</c:f>
              <c:strCache>
                <c:ptCount val="2"/>
                <c:pt idx="0">
                  <c:v>PLAN</c:v>
                </c:pt>
              </c:strCache>
            </c:strRef>
          </c:tx>
          <c:spPr>
            <a:ln w="3810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25"/>
            <c:spPr>
              <a:solidFill>
                <a:schemeClr val="tx1">
                  <a:lumMod val="50000"/>
                  <a:lumOff val="50000"/>
                </a:schemeClr>
              </a:solidFill>
              <a:ln w="3810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Shortbranches 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 Plan Shortbranches '!$C$8:$N$8</c:f>
              <c:numCache>
                <c:formatCode>0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0.26</c:v>
                </c:pt>
                <c:pt idx="5">
                  <c:v>0.26</c:v>
                </c:pt>
                <c:pt idx="6">
                  <c:v>0.26</c:v>
                </c:pt>
                <c:pt idx="7">
                  <c:v>0.26</c:v>
                </c:pt>
                <c:pt idx="8">
                  <c:v>0.26</c:v>
                </c:pt>
                <c:pt idx="9">
                  <c:v>0.26</c:v>
                </c:pt>
                <c:pt idx="10">
                  <c:v>0.26</c:v>
                </c:pt>
                <c:pt idx="11">
                  <c:v>0.26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BAAA-4DB5-9E5B-00396E988DB2}"/>
            </c:ext>
          </c:extLst>
        </c:ser>
        <c:ser>
          <c:idx val="6"/>
          <c:order val="6"/>
          <c:tx>
            <c:strRef>
              <c:f>'2025 Plan Shortbranches '!$A$12:$B$12</c:f>
              <c:strCache>
                <c:ptCount val="2"/>
                <c:pt idx="0">
                  <c:v>ACTUAL</c:v>
                </c:pt>
              </c:strCache>
            </c:strRef>
          </c:tx>
          <c:spPr>
            <a:ln w="38100" cap="rnd">
              <a:solidFill>
                <a:srgbClr val="2D8F78"/>
              </a:solidFill>
              <a:round/>
            </a:ln>
            <a:effectLst/>
          </c:spPr>
          <c:marker>
            <c:symbol val="circle"/>
            <c:size val="25"/>
            <c:spPr>
              <a:solidFill>
                <a:srgbClr val="2D8F78"/>
              </a:solidFill>
              <a:ln w="38100">
                <a:solidFill>
                  <a:srgbClr val="2D8F7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Shortbranches 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 Plan Shortbranches '!$C$12:$N$12</c:f>
              <c:numCache>
                <c:formatCode>0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BAAA-4DB5-9E5B-00396E988DB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'2025 Plan Shortbranches '!$A$6:$B$6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bg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25"/>
                  <c:spPr>
                    <a:solidFill>
                      <a:schemeClr val="bg1">
                        <a:lumMod val="50000"/>
                      </a:schemeClr>
                    </a:solidFill>
                    <a:ln w="9525">
                      <a:solidFill>
                        <a:schemeClr val="bg1">
                          <a:lumMod val="5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'2025 Plan Shortbranches 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Shortbranches '!$C$6:$N$6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0.08</c:v>
                      </c:pt>
                      <c:pt idx="1">
                        <c:v>0.08</c:v>
                      </c:pt>
                      <c:pt idx="2">
                        <c:v>0.08</c:v>
                      </c:pt>
                      <c:pt idx="3">
                        <c:v>0.08</c:v>
                      </c:pt>
                      <c:pt idx="4">
                        <c:v>0.08</c:v>
                      </c:pt>
                      <c:pt idx="5">
                        <c:v>0.08</c:v>
                      </c:pt>
                      <c:pt idx="6">
                        <c:v>0.08</c:v>
                      </c:pt>
                      <c:pt idx="7">
                        <c:v>0.08</c:v>
                      </c:pt>
                      <c:pt idx="8">
                        <c:v>0.08</c:v>
                      </c:pt>
                      <c:pt idx="9">
                        <c:v>0.08</c:v>
                      </c:pt>
                      <c:pt idx="10">
                        <c:v>0.08</c:v>
                      </c:pt>
                      <c:pt idx="11">
                        <c:v>0.08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AAA-4DB5-9E5B-00396E988DB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'!$A$7:$B$7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2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'!$C$7:$N$7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14</c:v>
                      </c:pt>
                      <c:pt idx="1">
                        <c:v>8</c:v>
                      </c:pt>
                      <c:pt idx="2">
                        <c:v>0.4</c:v>
                      </c:pt>
                      <c:pt idx="3">
                        <c:v>0.4</c:v>
                      </c:pt>
                      <c:pt idx="4">
                        <c:v>0.4</c:v>
                      </c:pt>
                      <c:pt idx="5">
                        <c:v>0.4</c:v>
                      </c:pt>
                      <c:pt idx="6">
                        <c:v>0.4</c:v>
                      </c:pt>
                      <c:pt idx="7">
                        <c:v>0.4</c:v>
                      </c:pt>
                      <c:pt idx="8">
                        <c:v>0.4</c:v>
                      </c:pt>
                      <c:pt idx="9">
                        <c:v>0.4</c:v>
                      </c:pt>
                      <c:pt idx="10">
                        <c:v>0.4</c:v>
                      </c:pt>
                      <c:pt idx="11">
                        <c:v>0.4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AAA-4DB5-9E5B-00396E988DB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'!$A$9:$B$9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dLbl>
                    <c:idx val="4"/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4-BAAA-4DB5-9E5B-00396E988DB2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'!$C$9:$N$9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0.08</c:v>
                      </c:pt>
                      <c:pt idx="1">
                        <c:v>0.08</c:v>
                      </c:pt>
                      <c:pt idx="2">
                        <c:v>0.08</c:v>
                      </c:pt>
                      <c:pt idx="3">
                        <c:v>0.08</c:v>
                      </c:pt>
                      <c:pt idx="4">
                        <c:v>0.08</c:v>
                      </c:pt>
                      <c:pt idx="5">
                        <c:v>0.08</c:v>
                      </c:pt>
                      <c:pt idx="6">
                        <c:v>0.08</c:v>
                      </c:pt>
                      <c:pt idx="7">
                        <c:v>0.08</c:v>
                      </c:pt>
                      <c:pt idx="8">
                        <c:v>0.08</c:v>
                      </c:pt>
                      <c:pt idx="9">
                        <c:v>0.08</c:v>
                      </c:pt>
                      <c:pt idx="10">
                        <c:v>0.08</c:v>
                      </c:pt>
                      <c:pt idx="11">
                        <c:v>0.08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AAA-4DB5-9E5B-00396E988DB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'!$A$10:$B$10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2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'!$C$10:$N$10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0.05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0.05</c:v>
                      </c:pt>
                      <c:pt idx="4">
                        <c:v>0.05</c:v>
                      </c:pt>
                      <c:pt idx="5">
                        <c:v>0.05</c:v>
                      </c:pt>
                      <c:pt idx="6">
                        <c:v>0.05</c:v>
                      </c:pt>
                      <c:pt idx="7">
                        <c:v>0.05</c:v>
                      </c:pt>
                      <c:pt idx="8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AAA-4DB5-9E5B-00396E988DB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'!$A$11:$B$11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2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'!$C$11:$N$11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14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4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AAA-4DB5-9E5B-00396E988DB2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'!$A$13:$B$13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'!$C$13:$N$13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0.05</c:v>
                      </c:pt>
                      <c:pt idx="1">
                        <c:v>0.05</c:v>
                      </c:pt>
                      <c:pt idx="2">
                        <c:v>0.05</c:v>
                      </c:pt>
                      <c:pt idx="3">
                        <c:v>0.05</c:v>
                      </c:pt>
                      <c:pt idx="4">
                        <c:v>0.05</c:v>
                      </c:pt>
                      <c:pt idx="5">
                        <c:v>0.05</c:v>
                      </c:pt>
                      <c:pt idx="6">
                        <c:v>0.05</c:v>
                      </c:pt>
                      <c:pt idx="7">
                        <c:v>0.05</c:v>
                      </c:pt>
                      <c:pt idx="8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AAA-4DB5-9E5B-00396E988DB2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866328245187123"/>
          <c:y val="0.91346394434048794"/>
          <c:w val="0.28960412654460282"/>
          <c:h val="7.41393654781787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baseline="0"/>
              <a:t>CONVERTER</a:t>
            </a:r>
          </a:p>
          <a:p>
            <a:pPr>
              <a:defRPr sz="1800"/>
            </a:pPr>
            <a:r>
              <a:rPr lang="en-US" sz="2000" b="0" baseline="0"/>
              <a:t>Shortbranches (Monthly)</a:t>
            </a:r>
            <a:endParaRPr lang="en-US" sz="2000" b="0"/>
          </a:p>
        </c:rich>
      </c:tx>
      <c:layout>
        <c:manualLayout>
          <c:xMode val="edge"/>
          <c:yMode val="edge"/>
          <c:x val="0.33508626103535061"/>
          <c:y val="1.57880416798417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73122411781860597"/>
        </c:manualLayout>
      </c:layout>
      <c:lineChart>
        <c:grouping val="standard"/>
        <c:varyColors val="0"/>
        <c:ser>
          <c:idx val="3"/>
          <c:order val="3"/>
          <c:tx>
            <c:strRef>
              <c:f>'2025 Plan Shortbranches '!$A$9:$B$9</c:f>
              <c:strCache>
                <c:ptCount val="2"/>
                <c:pt idx="0">
                  <c:v>PLAN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2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Shortbranches 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 Plan Shortbranches '!$C$9:$N$9</c:f>
              <c:numCache>
                <c:formatCode>0</c:formatCode>
                <c:ptCount val="12"/>
                <c:pt idx="0">
                  <c:v>0.08</c:v>
                </c:pt>
                <c:pt idx="1">
                  <c:v>0.08</c:v>
                </c:pt>
                <c:pt idx="2">
                  <c:v>0.08</c:v>
                </c:pt>
                <c:pt idx="3">
                  <c:v>0.08</c:v>
                </c:pt>
                <c:pt idx="4">
                  <c:v>0.08</c:v>
                </c:pt>
                <c:pt idx="5">
                  <c:v>0.08</c:v>
                </c:pt>
                <c:pt idx="6">
                  <c:v>0.08</c:v>
                </c:pt>
                <c:pt idx="7">
                  <c:v>0.08</c:v>
                </c:pt>
                <c:pt idx="8">
                  <c:v>0.08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2C2E-4CE8-B4A3-C01A64C4D51E}"/>
            </c:ext>
          </c:extLst>
        </c:ser>
        <c:ser>
          <c:idx val="7"/>
          <c:order val="7"/>
          <c:tx>
            <c:strRef>
              <c:f>'2025 Plan Shortbranches '!$A$13:$B$13</c:f>
              <c:strCache>
                <c:ptCount val="2"/>
                <c:pt idx="0">
                  <c:v>ACTUAL</c:v>
                </c:pt>
              </c:strCache>
            </c:strRef>
          </c:tx>
          <c:spPr>
            <a:ln w="38100" cap="rnd">
              <a:solidFill>
                <a:srgbClr val="2D8F78"/>
              </a:solidFill>
              <a:round/>
            </a:ln>
            <a:effectLst/>
          </c:spPr>
          <c:marker>
            <c:symbol val="circle"/>
            <c:size val="25"/>
            <c:spPr>
              <a:solidFill>
                <a:srgbClr val="2D8F78"/>
              </a:solidFill>
              <a:ln w="38100">
                <a:solidFill>
                  <a:srgbClr val="2D8F7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Shortbranches 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 Plan Shortbranches '!$C$13:$N$13</c:f>
              <c:numCache>
                <c:formatCode>0</c:formatCode>
                <c:ptCount val="12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2C2E-4CE8-B4A3-C01A64C4D51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'2025 Plan Shortbranches '!$A$6:$B$6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bg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25"/>
                  <c:spPr>
                    <a:solidFill>
                      <a:schemeClr val="bg1">
                        <a:lumMod val="50000"/>
                      </a:schemeClr>
                    </a:solidFill>
                    <a:ln w="9525">
                      <a:solidFill>
                        <a:schemeClr val="bg1">
                          <a:lumMod val="5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'2025 Plan Shortbranches 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Shortbranches '!$C$6:$N$6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0.08</c:v>
                      </c:pt>
                      <c:pt idx="1">
                        <c:v>0.08</c:v>
                      </c:pt>
                      <c:pt idx="2">
                        <c:v>0.08</c:v>
                      </c:pt>
                      <c:pt idx="3">
                        <c:v>0.08</c:v>
                      </c:pt>
                      <c:pt idx="4">
                        <c:v>0.08</c:v>
                      </c:pt>
                      <c:pt idx="5">
                        <c:v>0.08</c:v>
                      </c:pt>
                      <c:pt idx="6">
                        <c:v>0.08</c:v>
                      </c:pt>
                      <c:pt idx="7">
                        <c:v>0.08</c:v>
                      </c:pt>
                      <c:pt idx="8">
                        <c:v>0.08</c:v>
                      </c:pt>
                      <c:pt idx="9">
                        <c:v>0.08</c:v>
                      </c:pt>
                      <c:pt idx="10">
                        <c:v>0.08</c:v>
                      </c:pt>
                      <c:pt idx="11">
                        <c:v>0.08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2C2E-4CE8-B4A3-C01A64C4D51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'!$A$7:$B$7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2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'!$C$7:$N$7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14</c:v>
                      </c:pt>
                      <c:pt idx="1">
                        <c:v>8</c:v>
                      </c:pt>
                      <c:pt idx="2">
                        <c:v>0.4</c:v>
                      </c:pt>
                      <c:pt idx="3">
                        <c:v>0.4</c:v>
                      </c:pt>
                      <c:pt idx="4">
                        <c:v>0.4</c:v>
                      </c:pt>
                      <c:pt idx="5">
                        <c:v>0.4</c:v>
                      </c:pt>
                      <c:pt idx="6">
                        <c:v>0.4</c:v>
                      </c:pt>
                      <c:pt idx="7">
                        <c:v>0.4</c:v>
                      </c:pt>
                      <c:pt idx="8">
                        <c:v>0.4</c:v>
                      </c:pt>
                      <c:pt idx="9">
                        <c:v>0.4</c:v>
                      </c:pt>
                      <c:pt idx="10">
                        <c:v>0.4</c:v>
                      </c:pt>
                      <c:pt idx="11">
                        <c:v>0.4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C2E-4CE8-B4A3-C01A64C4D51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'!$A$8:$B$8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circle"/>
                  <c:size val="25"/>
                  <c:spPr>
                    <a:solidFill>
                      <a:srgbClr val="FF0000"/>
                    </a:solidFill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'!$C$8:$N$8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5</c:v>
                      </c:pt>
                      <c:pt idx="1">
                        <c:v>5</c:v>
                      </c:pt>
                      <c:pt idx="2">
                        <c:v>3</c:v>
                      </c:pt>
                      <c:pt idx="3">
                        <c:v>1</c:v>
                      </c:pt>
                      <c:pt idx="4">
                        <c:v>0.26</c:v>
                      </c:pt>
                      <c:pt idx="5">
                        <c:v>0.26</c:v>
                      </c:pt>
                      <c:pt idx="6">
                        <c:v>0.26</c:v>
                      </c:pt>
                      <c:pt idx="7">
                        <c:v>0.26</c:v>
                      </c:pt>
                      <c:pt idx="8">
                        <c:v>0.26</c:v>
                      </c:pt>
                      <c:pt idx="9">
                        <c:v>0.26</c:v>
                      </c:pt>
                      <c:pt idx="10">
                        <c:v>0.26</c:v>
                      </c:pt>
                      <c:pt idx="11">
                        <c:v>0.26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C2E-4CE8-B4A3-C01A64C4D51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'!$A$10:$B$10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2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'!$C$10:$N$10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0.05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0.05</c:v>
                      </c:pt>
                      <c:pt idx="4">
                        <c:v>0.05</c:v>
                      </c:pt>
                      <c:pt idx="5">
                        <c:v>0.05</c:v>
                      </c:pt>
                      <c:pt idx="6">
                        <c:v>0.05</c:v>
                      </c:pt>
                      <c:pt idx="7">
                        <c:v>0.05</c:v>
                      </c:pt>
                      <c:pt idx="8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C2E-4CE8-B4A3-C01A64C4D51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'!$A$11:$B$11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2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'!$C$11:$N$11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14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4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C2E-4CE8-B4A3-C01A64C4D51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'!$A$12:$B$12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2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'!$C$12:$N$12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3</c:v>
                      </c:pt>
                      <c:pt idx="6">
                        <c:v>2</c:v>
                      </c:pt>
                      <c:pt idx="7">
                        <c:v>3</c:v>
                      </c:pt>
                      <c:pt idx="8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C2E-4CE8-B4A3-C01A64C4D51E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4689475008308646"/>
          <c:y val="0.91651821548831414"/>
          <c:w val="0.32563007898259627"/>
          <c:h val="6.97318703286684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Vale Sans" panose="020B0503020204030204" pitchFamily="34" charset="0"/>
                <a:ea typeface="+mn-ea"/>
                <a:cs typeface="+mn-cs"/>
              </a:defRPr>
            </a:pPr>
            <a:r>
              <a:rPr lang="en-US" sz="1800" b="1" baseline="0">
                <a:latin typeface="Vale Sans" panose="020B0503020204030204" pitchFamily="34" charset="0"/>
              </a:rPr>
              <a:t>KILN - CTS</a:t>
            </a:r>
          </a:p>
          <a:p>
            <a:pPr>
              <a:defRPr sz="1800">
                <a:latin typeface="Vale Sans" panose="020B0503020204030204" pitchFamily="34" charset="0"/>
              </a:defRPr>
            </a:pPr>
            <a:r>
              <a:rPr lang="en-US" sz="1800" b="0" baseline="0">
                <a:latin typeface="Vale Sans" panose="020B0503020204030204" pitchFamily="34" charset="0"/>
              </a:rPr>
              <a:t>Shortbranches (Monthly)</a:t>
            </a:r>
            <a:endParaRPr lang="en-US" sz="1800" b="0">
              <a:latin typeface="Vale Sans" panose="020B0503020204030204" pitchFamily="34" charset="0"/>
            </a:endParaRPr>
          </a:p>
        </c:rich>
      </c:tx>
      <c:layout>
        <c:manualLayout>
          <c:xMode val="edge"/>
          <c:yMode val="edge"/>
          <c:x val="0.35801179775368364"/>
          <c:y val="3.47697942848142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Vale Sans" panose="020B0503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692438723968361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'2025 Plan Shortbranches '!$A$6:$B$6</c:f>
              <c:strCache>
                <c:ptCount val="2"/>
                <c:pt idx="0">
                  <c:v>PLAN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635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Vale Sans" panose="020B0503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Shortbranches 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 Plan Shortbranches '!$C$6:$N$6</c:f>
              <c:numCache>
                <c:formatCode>0</c:formatCode>
                <c:ptCount val="12"/>
                <c:pt idx="0">
                  <c:v>0.08</c:v>
                </c:pt>
                <c:pt idx="1">
                  <c:v>0.08</c:v>
                </c:pt>
                <c:pt idx="2">
                  <c:v>0.08</c:v>
                </c:pt>
                <c:pt idx="3">
                  <c:v>0.08</c:v>
                </c:pt>
                <c:pt idx="4">
                  <c:v>0.08</c:v>
                </c:pt>
                <c:pt idx="5">
                  <c:v>0.08</c:v>
                </c:pt>
                <c:pt idx="6">
                  <c:v>0.08</c:v>
                </c:pt>
                <c:pt idx="7">
                  <c:v>0.08</c:v>
                </c:pt>
                <c:pt idx="8">
                  <c:v>0.08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0B-4973-9BE5-9C8F2EA9695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5"/>
        <c:axId val="950571840"/>
        <c:axId val="95056716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'2025 Plan Shortbranches '!$A$7:$B$7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ormulaRef>
                          <c15:sqref>'2025 Plan Shortbranches 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Shortbranches '!$C$7:$N$7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14</c:v>
                      </c:pt>
                      <c:pt idx="1">
                        <c:v>8</c:v>
                      </c:pt>
                      <c:pt idx="2">
                        <c:v>0.4</c:v>
                      </c:pt>
                      <c:pt idx="3">
                        <c:v>0.4</c:v>
                      </c:pt>
                      <c:pt idx="4">
                        <c:v>0.4</c:v>
                      </c:pt>
                      <c:pt idx="5">
                        <c:v>0.4</c:v>
                      </c:pt>
                      <c:pt idx="6">
                        <c:v>0.4</c:v>
                      </c:pt>
                      <c:pt idx="7">
                        <c:v>0.4</c:v>
                      </c:pt>
                      <c:pt idx="8">
                        <c:v>0.4</c:v>
                      </c:pt>
                      <c:pt idx="9">
                        <c:v>0.4</c:v>
                      </c:pt>
                      <c:pt idx="10">
                        <c:v>0.4</c:v>
                      </c:pt>
                      <c:pt idx="11">
                        <c:v>0.4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160B-4973-9BE5-9C8F2EA96955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'!$A$8:$B$8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'!$C$8:$N$8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5</c:v>
                      </c:pt>
                      <c:pt idx="1">
                        <c:v>5</c:v>
                      </c:pt>
                      <c:pt idx="2">
                        <c:v>3</c:v>
                      </c:pt>
                      <c:pt idx="3">
                        <c:v>1</c:v>
                      </c:pt>
                      <c:pt idx="4">
                        <c:v>0.26</c:v>
                      </c:pt>
                      <c:pt idx="5">
                        <c:v>0.26</c:v>
                      </c:pt>
                      <c:pt idx="6">
                        <c:v>0.26</c:v>
                      </c:pt>
                      <c:pt idx="7">
                        <c:v>0.26</c:v>
                      </c:pt>
                      <c:pt idx="8">
                        <c:v>0.26</c:v>
                      </c:pt>
                      <c:pt idx="9">
                        <c:v>0.26</c:v>
                      </c:pt>
                      <c:pt idx="10">
                        <c:v>0.26</c:v>
                      </c:pt>
                      <c:pt idx="11">
                        <c:v>0.26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60B-4973-9BE5-9C8F2EA96955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'!$A$9:$B$9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'!$C$9:$N$9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0.08</c:v>
                      </c:pt>
                      <c:pt idx="1">
                        <c:v>0.08</c:v>
                      </c:pt>
                      <c:pt idx="2">
                        <c:v>0.08</c:v>
                      </c:pt>
                      <c:pt idx="3">
                        <c:v>0.08</c:v>
                      </c:pt>
                      <c:pt idx="4">
                        <c:v>0.08</c:v>
                      </c:pt>
                      <c:pt idx="5">
                        <c:v>0.08</c:v>
                      </c:pt>
                      <c:pt idx="6">
                        <c:v>0.08</c:v>
                      </c:pt>
                      <c:pt idx="7">
                        <c:v>0.08</c:v>
                      </c:pt>
                      <c:pt idx="8">
                        <c:v>0.08</c:v>
                      </c:pt>
                      <c:pt idx="9">
                        <c:v>0.08</c:v>
                      </c:pt>
                      <c:pt idx="10">
                        <c:v>0.08</c:v>
                      </c:pt>
                      <c:pt idx="11">
                        <c:v>0.08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160B-4973-9BE5-9C8F2EA96955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'!$A$11:$B$11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'!$C$11:$N$11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14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4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160B-4973-9BE5-9C8F2EA96955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'!$A$12:$B$12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'!$C$12:$N$12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3</c:v>
                      </c:pt>
                      <c:pt idx="6">
                        <c:v>2</c:v>
                      </c:pt>
                      <c:pt idx="7">
                        <c:v>3</c:v>
                      </c:pt>
                      <c:pt idx="8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160B-4973-9BE5-9C8F2EA96955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'!$A$13:$B$13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'!$C$13:$N$13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0.05</c:v>
                      </c:pt>
                      <c:pt idx="1">
                        <c:v>0.05</c:v>
                      </c:pt>
                      <c:pt idx="2">
                        <c:v>0.05</c:v>
                      </c:pt>
                      <c:pt idx="3">
                        <c:v>0.05</c:v>
                      </c:pt>
                      <c:pt idx="4">
                        <c:v>0.05</c:v>
                      </c:pt>
                      <c:pt idx="5">
                        <c:v>0.05</c:v>
                      </c:pt>
                      <c:pt idx="6">
                        <c:v>0.05</c:v>
                      </c:pt>
                      <c:pt idx="7">
                        <c:v>0.05</c:v>
                      </c:pt>
                      <c:pt idx="8">
                        <c:v>0.05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160B-4973-9BE5-9C8F2EA9695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'2025 Plan Shortbranches '!$A$10:$B$10</c:f>
              <c:strCache>
                <c:ptCount val="2"/>
                <c:pt idx="0">
                  <c:v>ACTUAL</c:v>
                </c:pt>
              </c:strCache>
            </c:strRef>
          </c:tx>
          <c:spPr>
            <a:ln w="57150" cap="rnd">
              <a:solidFill>
                <a:srgbClr val="2D8F78"/>
              </a:solidFill>
              <a:round/>
            </a:ln>
            <a:effectLst/>
          </c:spPr>
          <c:marker>
            <c:symbol val="x"/>
            <c:size val="21"/>
            <c:spPr>
              <a:solidFill>
                <a:srgbClr val="2D8F78"/>
              </a:solidFill>
              <a:ln w="57150">
                <a:solidFill>
                  <a:srgbClr val="2D8F7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Vale Sans" panose="020B0503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Shortbranches 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 Plan Shortbranches '!$C$10:$N$10</c:f>
              <c:numCache>
                <c:formatCode>0</c:formatCode>
                <c:ptCount val="12"/>
                <c:pt idx="0">
                  <c:v>0.05</c:v>
                </c:pt>
                <c:pt idx="1">
                  <c:v>1</c:v>
                </c:pt>
                <c:pt idx="2">
                  <c:v>1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60B-4973-9BE5-9C8F2EA96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Vale Sans" panose="020B0503020204030204" pitchFamily="34" charset="0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1724721687105029"/>
          <c:y val="0.87222708629656331"/>
          <c:w val="0.36683296862239012"/>
          <c:h val="9.42106144667627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ale Sans" panose="020B0503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DD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Vale Sans" panose="020B0503020204030204" pitchFamily="34" charset="0"/>
                <a:ea typeface="+mn-ea"/>
                <a:cs typeface="+mn-cs"/>
              </a:defRPr>
            </a:pPr>
            <a:r>
              <a:rPr lang="en-US" sz="1800" b="1" baseline="0">
                <a:latin typeface="Vale Sans" panose="020B0503020204030204" pitchFamily="34" charset="0"/>
              </a:rPr>
              <a:t>DRYER - CM</a:t>
            </a:r>
          </a:p>
          <a:p>
            <a:pPr>
              <a:defRPr sz="1800">
                <a:latin typeface="Vale Sans" panose="020B0503020204030204" pitchFamily="34" charset="0"/>
              </a:defRPr>
            </a:pPr>
            <a:r>
              <a:rPr lang="en-US" sz="1800" b="0" baseline="0">
                <a:latin typeface="Vale Sans" panose="020B0503020204030204" pitchFamily="34" charset="0"/>
              </a:rPr>
              <a:t>Shortbranches (Monthly)</a:t>
            </a:r>
            <a:endParaRPr lang="en-US" sz="1800" b="0">
              <a:latin typeface="Vale Sans" panose="020B0503020204030204" pitchFamily="34" charset="0"/>
            </a:endParaRPr>
          </a:p>
        </c:rich>
      </c:tx>
      <c:layout>
        <c:manualLayout>
          <c:xMode val="edge"/>
          <c:yMode val="edge"/>
          <c:x val="0.33659222303269098"/>
          <c:y val="2.0153211917124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Vale Sans" panose="020B0503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6924387239683610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'2025 Plan Shortbranches '!$A$7:$B$7</c:f>
              <c:strCache>
                <c:ptCount val="2"/>
                <c:pt idx="0">
                  <c:v>PLAN</c:v>
                </c:pt>
              </c:strCache>
              <c:extLst xmlns:c15="http://schemas.microsoft.com/office/drawing/2012/chart"/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ale Sans" panose="020B0503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Shortbranches 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  <c:extLst xmlns:c15="http://schemas.microsoft.com/office/drawing/2012/chart"/>
            </c:strRef>
          </c:cat>
          <c:val>
            <c:numRef>
              <c:f>'2025 Plan Shortbranches '!$C$7:$N$7</c:f>
              <c:numCache>
                <c:formatCode>0</c:formatCode>
                <c:ptCount val="12"/>
                <c:pt idx="0">
                  <c:v>14</c:v>
                </c:pt>
                <c:pt idx="1">
                  <c:v>8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0A42-45F6-8EE1-FF81A41B3D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5"/>
        <c:axId val="950571840"/>
        <c:axId val="95056716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'2025 Plan Shortbranches '!$A$6:$B$6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bg1">
                      <a:lumMod val="75000"/>
                    </a:schemeClr>
                  </a:solidFill>
                  <a:ln w="6350"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Vale Sans" panose="020B050302020403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'2025 Plan Shortbranches 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Shortbranches '!$C$6:$N$6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0.08</c:v>
                      </c:pt>
                      <c:pt idx="1">
                        <c:v>0.08</c:v>
                      </c:pt>
                      <c:pt idx="2">
                        <c:v>0.08</c:v>
                      </c:pt>
                      <c:pt idx="3">
                        <c:v>0.08</c:v>
                      </c:pt>
                      <c:pt idx="4">
                        <c:v>0.08</c:v>
                      </c:pt>
                      <c:pt idx="5">
                        <c:v>0.08</c:v>
                      </c:pt>
                      <c:pt idx="6">
                        <c:v>0.08</c:v>
                      </c:pt>
                      <c:pt idx="7">
                        <c:v>0.08</c:v>
                      </c:pt>
                      <c:pt idx="8">
                        <c:v>0.08</c:v>
                      </c:pt>
                      <c:pt idx="9">
                        <c:v>0.08</c:v>
                      </c:pt>
                      <c:pt idx="10">
                        <c:v>0.08</c:v>
                      </c:pt>
                      <c:pt idx="11">
                        <c:v>0.08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A42-45F6-8EE1-FF81A41B3D6E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'!$A$8:$B$8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'!$C$8:$N$8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5</c:v>
                      </c:pt>
                      <c:pt idx="1">
                        <c:v>5</c:v>
                      </c:pt>
                      <c:pt idx="2">
                        <c:v>3</c:v>
                      </c:pt>
                      <c:pt idx="3">
                        <c:v>1</c:v>
                      </c:pt>
                      <c:pt idx="4">
                        <c:v>0.26</c:v>
                      </c:pt>
                      <c:pt idx="5">
                        <c:v>0.26</c:v>
                      </c:pt>
                      <c:pt idx="6">
                        <c:v>0.26</c:v>
                      </c:pt>
                      <c:pt idx="7">
                        <c:v>0.26</c:v>
                      </c:pt>
                      <c:pt idx="8">
                        <c:v>0.26</c:v>
                      </c:pt>
                      <c:pt idx="9">
                        <c:v>0.26</c:v>
                      </c:pt>
                      <c:pt idx="10">
                        <c:v>0.26</c:v>
                      </c:pt>
                      <c:pt idx="11">
                        <c:v>0.26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A42-45F6-8EE1-FF81A41B3D6E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'!$A$9:$B$9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'!$C$9:$N$9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0.08</c:v>
                      </c:pt>
                      <c:pt idx="1">
                        <c:v>0.08</c:v>
                      </c:pt>
                      <c:pt idx="2">
                        <c:v>0.08</c:v>
                      </c:pt>
                      <c:pt idx="3">
                        <c:v>0.08</c:v>
                      </c:pt>
                      <c:pt idx="4">
                        <c:v>0.08</c:v>
                      </c:pt>
                      <c:pt idx="5">
                        <c:v>0.08</c:v>
                      </c:pt>
                      <c:pt idx="6">
                        <c:v>0.08</c:v>
                      </c:pt>
                      <c:pt idx="7">
                        <c:v>0.08</c:v>
                      </c:pt>
                      <c:pt idx="8">
                        <c:v>0.08</c:v>
                      </c:pt>
                      <c:pt idx="9">
                        <c:v>0.08</c:v>
                      </c:pt>
                      <c:pt idx="10">
                        <c:v>0.08</c:v>
                      </c:pt>
                      <c:pt idx="11">
                        <c:v>0.08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A42-45F6-8EE1-FF81A41B3D6E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'!$A$12:$B$12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'!$C$12:$N$12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3</c:v>
                      </c:pt>
                      <c:pt idx="6">
                        <c:v>2</c:v>
                      </c:pt>
                      <c:pt idx="7">
                        <c:v>3</c:v>
                      </c:pt>
                      <c:pt idx="8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A42-45F6-8EE1-FF81A41B3D6E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'!$A$13:$B$13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'!$C$13:$N$13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0.05</c:v>
                      </c:pt>
                      <c:pt idx="1">
                        <c:v>0.05</c:v>
                      </c:pt>
                      <c:pt idx="2">
                        <c:v>0.05</c:v>
                      </c:pt>
                      <c:pt idx="3">
                        <c:v>0.05</c:v>
                      </c:pt>
                      <c:pt idx="4">
                        <c:v>0.05</c:v>
                      </c:pt>
                      <c:pt idx="5">
                        <c:v>0.05</c:v>
                      </c:pt>
                      <c:pt idx="6">
                        <c:v>0.05</c:v>
                      </c:pt>
                      <c:pt idx="7">
                        <c:v>0.05</c:v>
                      </c:pt>
                      <c:pt idx="8">
                        <c:v>0.05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A42-45F6-8EE1-FF81A41B3D6E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5"/>
          <c:order val="5"/>
          <c:tx>
            <c:strRef>
              <c:f>'2025 Plan Shortbranches '!$A$11:$B$11</c:f>
              <c:strCache>
                <c:ptCount val="2"/>
                <c:pt idx="0">
                  <c:v>ACTUAL</c:v>
                </c:pt>
              </c:strCache>
              <c:extLst xmlns:c15="http://schemas.microsoft.com/office/drawing/2012/chart"/>
            </c:strRef>
          </c:tx>
          <c:spPr>
            <a:ln w="38100" cap="rnd">
              <a:solidFill>
                <a:srgbClr val="2D8F78"/>
              </a:solidFill>
              <a:round/>
            </a:ln>
            <a:effectLst/>
          </c:spPr>
          <c:marker>
            <c:symbol val="star"/>
            <c:size val="21"/>
            <c:spPr>
              <a:solidFill>
                <a:srgbClr val="2D8F78"/>
              </a:solidFill>
              <a:ln w="38100">
                <a:solidFill>
                  <a:srgbClr val="2D8F7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Vale Sans" panose="020B0503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Shortbranches 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  <c:extLst xmlns:c15="http://schemas.microsoft.com/office/drawing/2012/chart"/>
            </c:strRef>
          </c:cat>
          <c:val>
            <c:numRef>
              <c:f>'2025 Plan Shortbranches '!$C$11:$N$11</c:f>
              <c:numCache>
                <c:formatCode>0</c:formatCode>
                <c:ptCount val="12"/>
                <c:pt idx="0">
                  <c:v>14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0A42-45F6-8EE1-FF81A41B3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'2025 Plan Shortbranches '!$A$10:$B$10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57150" cap="rnd">
                    <a:solidFill>
                      <a:srgbClr val="2D8F78"/>
                    </a:solidFill>
                    <a:round/>
                  </a:ln>
                  <a:effectLst/>
                </c:spPr>
                <c:marker>
                  <c:symbol val="x"/>
                  <c:size val="21"/>
                  <c:spPr>
                    <a:solidFill>
                      <a:srgbClr val="2D8F78"/>
                    </a:solidFill>
                    <a:ln w="57150">
                      <a:solidFill>
                        <a:srgbClr val="2D8F78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2000" b="1" i="0" u="none" strike="noStrike" kern="1200" baseline="0">
                          <a:solidFill>
                            <a:schemeClr val="bg1"/>
                          </a:solidFill>
                          <a:latin typeface="Vale Sans" panose="020B050302020403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'2025 Plan Shortbranches 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Shortbranches '!$C$10:$N$10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0.05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0.05</c:v>
                      </c:pt>
                      <c:pt idx="4">
                        <c:v>0.05</c:v>
                      </c:pt>
                      <c:pt idx="5">
                        <c:v>0.05</c:v>
                      </c:pt>
                      <c:pt idx="6">
                        <c:v>0.05</c:v>
                      </c:pt>
                      <c:pt idx="7">
                        <c:v>0.05</c:v>
                      </c:pt>
                      <c:pt idx="8">
                        <c:v>0.05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0A42-45F6-8EE1-FF81A41B3D6E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Vale Sans" panose="020B0503020204030204" pitchFamily="34" charset="0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1724721687105029"/>
          <c:y val="0.87222708629656331"/>
          <c:w val="0.36683296862239012"/>
          <c:h val="9.42106144667627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ale Sans" panose="020B0503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DD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Vale Sans" panose="020B0503020204030204" pitchFamily="34" charset="0"/>
                <a:ea typeface="+mn-ea"/>
                <a:cs typeface="+mn-cs"/>
              </a:defRPr>
            </a:pPr>
            <a:r>
              <a:rPr lang="en-US" sz="1800" b="1" baseline="0">
                <a:latin typeface="Vale Sans" panose="020B0503020204030204" pitchFamily="34" charset="0"/>
              </a:rPr>
              <a:t>FURNACE</a:t>
            </a:r>
          </a:p>
          <a:p>
            <a:pPr>
              <a:defRPr sz="1800">
                <a:latin typeface="Vale Sans" panose="020B0503020204030204" pitchFamily="34" charset="0"/>
              </a:defRPr>
            </a:pPr>
            <a:r>
              <a:rPr lang="en-US" sz="1800" b="0" baseline="0">
                <a:latin typeface="Vale Sans" panose="020B0503020204030204" pitchFamily="34" charset="0"/>
              </a:rPr>
              <a:t>Shortbranches (Monthly)</a:t>
            </a:r>
            <a:endParaRPr lang="en-US" sz="1800" b="0">
              <a:latin typeface="Vale Sans" panose="020B0503020204030204" pitchFamily="34" charset="0"/>
            </a:endParaRPr>
          </a:p>
        </c:rich>
      </c:tx>
      <c:layout>
        <c:manualLayout>
          <c:xMode val="edge"/>
          <c:yMode val="edge"/>
          <c:x val="0.33659222303269098"/>
          <c:y val="2.0153211917124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Vale Sans" panose="020B0503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6924387239683610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'2025 Plan Shortbranches '!$A$8:$B$8</c:f>
              <c:strCache>
                <c:ptCount val="2"/>
                <c:pt idx="0">
                  <c:v>PLAN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ale Sans" panose="020B0503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Shortbranches 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  <c:extLst xmlns:c15="http://schemas.microsoft.com/office/drawing/2012/chart"/>
            </c:strRef>
          </c:cat>
          <c:val>
            <c:numRef>
              <c:f>'2025 Plan Shortbranches '!$C$8:$N$8</c:f>
              <c:numCache>
                <c:formatCode>0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0.26</c:v>
                </c:pt>
                <c:pt idx="5">
                  <c:v>0.26</c:v>
                </c:pt>
                <c:pt idx="6">
                  <c:v>0.26</c:v>
                </c:pt>
                <c:pt idx="7">
                  <c:v>0.26</c:v>
                </c:pt>
                <c:pt idx="8">
                  <c:v>0.26</c:v>
                </c:pt>
                <c:pt idx="9">
                  <c:v>0.26</c:v>
                </c:pt>
                <c:pt idx="10">
                  <c:v>0.26</c:v>
                </c:pt>
                <c:pt idx="11">
                  <c:v>0.26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DA21-4EC5-A979-6AF1D971E69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5"/>
        <c:axId val="950571840"/>
        <c:axId val="95056716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'2025 Plan Shortbranches '!$A$6:$B$6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bg1">
                      <a:lumMod val="75000"/>
                    </a:schemeClr>
                  </a:solidFill>
                  <a:ln w="6350"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Vale Sans" panose="020B050302020403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'2025 Plan Shortbranches 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Shortbranches '!$C$6:$N$6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0.08</c:v>
                      </c:pt>
                      <c:pt idx="1">
                        <c:v>0.08</c:v>
                      </c:pt>
                      <c:pt idx="2">
                        <c:v>0.08</c:v>
                      </c:pt>
                      <c:pt idx="3">
                        <c:v>0.08</c:v>
                      </c:pt>
                      <c:pt idx="4">
                        <c:v>0.08</c:v>
                      </c:pt>
                      <c:pt idx="5">
                        <c:v>0.08</c:v>
                      </c:pt>
                      <c:pt idx="6">
                        <c:v>0.08</c:v>
                      </c:pt>
                      <c:pt idx="7">
                        <c:v>0.08</c:v>
                      </c:pt>
                      <c:pt idx="8">
                        <c:v>0.08</c:v>
                      </c:pt>
                      <c:pt idx="9">
                        <c:v>0.08</c:v>
                      </c:pt>
                      <c:pt idx="10">
                        <c:v>0.08</c:v>
                      </c:pt>
                      <c:pt idx="11">
                        <c:v>0.08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DA21-4EC5-A979-6AF1D971E696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'!$A$8:$B$8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'!$C$8:$N$8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5</c:v>
                      </c:pt>
                      <c:pt idx="1">
                        <c:v>5</c:v>
                      </c:pt>
                      <c:pt idx="2">
                        <c:v>3</c:v>
                      </c:pt>
                      <c:pt idx="3">
                        <c:v>1</c:v>
                      </c:pt>
                      <c:pt idx="4">
                        <c:v>0.26</c:v>
                      </c:pt>
                      <c:pt idx="5">
                        <c:v>0.26</c:v>
                      </c:pt>
                      <c:pt idx="6">
                        <c:v>0.26</c:v>
                      </c:pt>
                      <c:pt idx="7">
                        <c:v>0.26</c:v>
                      </c:pt>
                      <c:pt idx="8">
                        <c:v>0.26</c:v>
                      </c:pt>
                      <c:pt idx="9">
                        <c:v>0.26</c:v>
                      </c:pt>
                      <c:pt idx="10">
                        <c:v>0.26</c:v>
                      </c:pt>
                      <c:pt idx="11">
                        <c:v>0.26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A21-4EC5-A979-6AF1D971E69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'!$A$9:$B$9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'!$C$9:$N$9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0.08</c:v>
                      </c:pt>
                      <c:pt idx="1">
                        <c:v>0.08</c:v>
                      </c:pt>
                      <c:pt idx="2">
                        <c:v>0.08</c:v>
                      </c:pt>
                      <c:pt idx="3">
                        <c:v>0.08</c:v>
                      </c:pt>
                      <c:pt idx="4">
                        <c:v>0.08</c:v>
                      </c:pt>
                      <c:pt idx="5">
                        <c:v>0.08</c:v>
                      </c:pt>
                      <c:pt idx="6">
                        <c:v>0.08</c:v>
                      </c:pt>
                      <c:pt idx="7">
                        <c:v>0.08</c:v>
                      </c:pt>
                      <c:pt idx="8">
                        <c:v>0.08</c:v>
                      </c:pt>
                      <c:pt idx="9">
                        <c:v>0.08</c:v>
                      </c:pt>
                      <c:pt idx="10">
                        <c:v>0.08</c:v>
                      </c:pt>
                      <c:pt idx="11">
                        <c:v>0.08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A21-4EC5-A979-6AF1D971E69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'!$A$12:$B$12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'!$C$12:$N$12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3</c:v>
                      </c:pt>
                      <c:pt idx="6">
                        <c:v>2</c:v>
                      </c:pt>
                      <c:pt idx="7">
                        <c:v>3</c:v>
                      </c:pt>
                      <c:pt idx="8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A21-4EC5-A979-6AF1D971E696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'!$A$13:$B$13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'!$C$13:$N$13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0.05</c:v>
                      </c:pt>
                      <c:pt idx="1">
                        <c:v>0.05</c:v>
                      </c:pt>
                      <c:pt idx="2">
                        <c:v>0.05</c:v>
                      </c:pt>
                      <c:pt idx="3">
                        <c:v>0.05</c:v>
                      </c:pt>
                      <c:pt idx="4">
                        <c:v>0.05</c:v>
                      </c:pt>
                      <c:pt idx="5">
                        <c:v>0.05</c:v>
                      </c:pt>
                      <c:pt idx="6">
                        <c:v>0.05</c:v>
                      </c:pt>
                      <c:pt idx="7">
                        <c:v>0.05</c:v>
                      </c:pt>
                      <c:pt idx="8">
                        <c:v>0.05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A21-4EC5-A979-6AF1D971E69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5"/>
          <c:order val="5"/>
          <c:tx>
            <c:strRef>
              <c:f>'2025 Plan Shortbranches '!$A$12:$B$12</c:f>
              <c:strCache>
                <c:ptCount val="2"/>
                <c:pt idx="0">
                  <c:v>ACTUAL</c:v>
                </c:pt>
              </c:strCache>
            </c:strRef>
          </c:tx>
          <c:spPr>
            <a:ln w="38100" cap="rnd">
              <a:solidFill>
                <a:srgbClr val="2D8F78"/>
              </a:solidFill>
              <a:round/>
            </a:ln>
            <a:effectLst/>
          </c:spPr>
          <c:marker>
            <c:symbol val="star"/>
            <c:size val="21"/>
            <c:spPr>
              <a:solidFill>
                <a:srgbClr val="2D8F78"/>
              </a:solidFill>
              <a:ln w="38100">
                <a:solidFill>
                  <a:srgbClr val="2D8F7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Vale Sans" panose="020B0503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Shortbranches 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  <c:extLst xmlns:c15="http://schemas.microsoft.com/office/drawing/2012/chart"/>
            </c:strRef>
          </c:cat>
          <c:val>
            <c:numRef>
              <c:f>'2025 Plan Shortbranches '!$C$12:$N$12</c:f>
              <c:numCache>
                <c:formatCode>0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DA21-4EC5-A979-6AF1D971E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'2025 Plan Shortbranches '!$A$10:$B$10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57150" cap="rnd">
                    <a:solidFill>
                      <a:srgbClr val="2D8F78"/>
                    </a:solidFill>
                    <a:round/>
                  </a:ln>
                  <a:effectLst/>
                </c:spPr>
                <c:marker>
                  <c:symbol val="x"/>
                  <c:size val="21"/>
                  <c:spPr>
                    <a:solidFill>
                      <a:srgbClr val="2D8F78"/>
                    </a:solidFill>
                    <a:ln w="57150">
                      <a:solidFill>
                        <a:srgbClr val="2D8F78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2000" b="1" i="0" u="none" strike="noStrike" kern="1200" baseline="0">
                          <a:solidFill>
                            <a:schemeClr val="bg1"/>
                          </a:solidFill>
                          <a:latin typeface="Vale Sans" panose="020B050302020403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'2025 Plan Shortbranches 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Shortbranches '!$C$10:$N$10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0.05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0.05</c:v>
                      </c:pt>
                      <c:pt idx="4">
                        <c:v>0.05</c:v>
                      </c:pt>
                      <c:pt idx="5">
                        <c:v>0.05</c:v>
                      </c:pt>
                      <c:pt idx="6">
                        <c:v>0.05</c:v>
                      </c:pt>
                      <c:pt idx="7">
                        <c:v>0.05</c:v>
                      </c:pt>
                      <c:pt idx="8">
                        <c:v>0.05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DA21-4EC5-A979-6AF1D971E696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Vale Sans" panose="020B0503020204030204" pitchFamily="34" charset="0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  <c:max val="10"/>
        </c:scaling>
        <c:delete val="1"/>
        <c:axPos val="l"/>
        <c:numFmt formatCode="0" sourceLinked="1"/>
        <c:majorTickMark val="out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1724721687105029"/>
          <c:y val="0.87222708629656331"/>
          <c:w val="0.36683296862239012"/>
          <c:h val="9.42106144667627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ale Sans" panose="020B0503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DD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Vale Sans" panose="020B0503020204030204" pitchFamily="34" charset="0"/>
                <a:ea typeface="+mn-ea"/>
                <a:cs typeface="+mn-cs"/>
              </a:defRPr>
            </a:pPr>
            <a:r>
              <a:rPr lang="en-US" sz="1800" b="1" baseline="0">
                <a:latin typeface="Vale Sans" panose="020B0503020204030204" pitchFamily="34" charset="0"/>
              </a:rPr>
              <a:t>CONVERTER</a:t>
            </a:r>
          </a:p>
          <a:p>
            <a:pPr>
              <a:defRPr sz="1800">
                <a:latin typeface="Vale Sans" panose="020B0503020204030204" pitchFamily="34" charset="0"/>
              </a:defRPr>
            </a:pPr>
            <a:r>
              <a:rPr lang="en-US" sz="1800" b="0" baseline="0">
                <a:latin typeface="Vale Sans" panose="020B0503020204030204" pitchFamily="34" charset="0"/>
              </a:rPr>
              <a:t>Shortbranches (Monthly)</a:t>
            </a:r>
            <a:endParaRPr lang="en-US" sz="1800" b="0">
              <a:latin typeface="Vale Sans" panose="020B0503020204030204" pitchFamily="34" charset="0"/>
            </a:endParaRPr>
          </a:p>
        </c:rich>
      </c:tx>
      <c:layout>
        <c:manualLayout>
          <c:xMode val="edge"/>
          <c:yMode val="edge"/>
          <c:x val="0.33824173477721459"/>
          <c:y val="2.67797729178776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Vale Sans" panose="020B0503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6924387239683610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'2025 Plan Shortbranches '!$A$9:$B$9</c:f>
              <c:strCache>
                <c:ptCount val="2"/>
                <c:pt idx="0">
                  <c:v>PLAN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ale Sans" panose="020B0503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Shortbranches 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  <c:extLst xmlns:c15="http://schemas.microsoft.com/office/drawing/2012/chart"/>
            </c:strRef>
          </c:cat>
          <c:val>
            <c:numRef>
              <c:f>'2025 Plan Shortbranches '!$C$9:$N$9</c:f>
              <c:numCache>
                <c:formatCode>0</c:formatCode>
                <c:ptCount val="12"/>
                <c:pt idx="0">
                  <c:v>0.08</c:v>
                </c:pt>
                <c:pt idx="1">
                  <c:v>0.08</c:v>
                </c:pt>
                <c:pt idx="2">
                  <c:v>0.08</c:v>
                </c:pt>
                <c:pt idx="3">
                  <c:v>0.08</c:v>
                </c:pt>
                <c:pt idx="4">
                  <c:v>0.08</c:v>
                </c:pt>
                <c:pt idx="5">
                  <c:v>0.08</c:v>
                </c:pt>
                <c:pt idx="6">
                  <c:v>0.08</c:v>
                </c:pt>
                <c:pt idx="7">
                  <c:v>0.08</c:v>
                </c:pt>
                <c:pt idx="8">
                  <c:v>0.08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7703-4D6A-9977-FE0A5FB48E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5"/>
        <c:axId val="950571840"/>
        <c:axId val="95056716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'2025 Plan Shortbranches '!$A$6:$B$6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bg1">
                      <a:lumMod val="75000"/>
                    </a:schemeClr>
                  </a:solidFill>
                  <a:ln w="6350"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Vale Sans" panose="020B050302020403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'2025 Plan Shortbranches 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Shortbranches '!$C$6:$N$6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0.08</c:v>
                      </c:pt>
                      <c:pt idx="1">
                        <c:v>0.08</c:v>
                      </c:pt>
                      <c:pt idx="2">
                        <c:v>0.08</c:v>
                      </c:pt>
                      <c:pt idx="3">
                        <c:v>0.08</c:v>
                      </c:pt>
                      <c:pt idx="4">
                        <c:v>0.08</c:v>
                      </c:pt>
                      <c:pt idx="5">
                        <c:v>0.08</c:v>
                      </c:pt>
                      <c:pt idx="6">
                        <c:v>0.08</c:v>
                      </c:pt>
                      <c:pt idx="7">
                        <c:v>0.08</c:v>
                      </c:pt>
                      <c:pt idx="8">
                        <c:v>0.08</c:v>
                      </c:pt>
                      <c:pt idx="9">
                        <c:v>0.08</c:v>
                      </c:pt>
                      <c:pt idx="10">
                        <c:v>0.08</c:v>
                      </c:pt>
                      <c:pt idx="11">
                        <c:v>0.08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7703-4D6A-9977-FE0A5FB48E90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'!$A$8:$B$8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bg1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Vale Sans" panose="020B050302020403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'!$C$8:$N$8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5</c:v>
                      </c:pt>
                      <c:pt idx="1">
                        <c:v>5</c:v>
                      </c:pt>
                      <c:pt idx="2">
                        <c:v>3</c:v>
                      </c:pt>
                      <c:pt idx="3">
                        <c:v>1</c:v>
                      </c:pt>
                      <c:pt idx="4">
                        <c:v>0.26</c:v>
                      </c:pt>
                      <c:pt idx="5">
                        <c:v>0.26</c:v>
                      </c:pt>
                      <c:pt idx="6">
                        <c:v>0.26</c:v>
                      </c:pt>
                      <c:pt idx="7">
                        <c:v>0.26</c:v>
                      </c:pt>
                      <c:pt idx="8">
                        <c:v>0.26</c:v>
                      </c:pt>
                      <c:pt idx="9">
                        <c:v>0.26</c:v>
                      </c:pt>
                      <c:pt idx="10">
                        <c:v>0.26</c:v>
                      </c:pt>
                      <c:pt idx="11">
                        <c:v>0.26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703-4D6A-9977-FE0A5FB48E9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'!$A$9:$B$9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'!$C$9:$N$9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0.08</c:v>
                      </c:pt>
                      <c:pt idx="1">
                        <c:v>0.08</c:v>
                      </c:pt>
                      <c:pt idx="2">
                        <c:v>0.08</c:v>
                      </c:pt>
                      <c:pt idx="3">
                        <c:v>0.08</c:v>
                      </c:pt>
                      <c:pt idx="4">
                        <c:v>0.08</c:v>
                      </c:pt>
                      <c:pt idx="5">
                        <c:v>0.08</c:v>
                      </c:pt>
                      <c:pt idx="6">
                        <c:v>0.08</c:v>
                      </c:pt>
                      <c:pt idx="7">
                        <c:v>0.08</c:v>
                      </c:pt>
                      <c:pt idx="8">
                        <c:v>0.08</c:v>
                      </c:pt>
                      <c:pt idx="9">
                        <c:v>0.08</c:v>
                      </c:pt>
                      <c:pt idx="10">
                        <c:v>0.08</c:v>
                      </c:pt>
                      <c:pt idx="11">
                        <c:v>0.08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703-4D6A-9977-FE0A5FB48E90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'!$A$12:$B$12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 w="38100">
                    <a:solidFill>
                      <a:srgbClr val="2D8F78"/>
                    </a:solidFill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2000" b="1" i="0" u="none" strike="noStrike" kern="1200" baseline="0">
                          <a:solidFill>
                            <a:schemeClr val="bg1"/>
                          </a:solidFill>
                          <a:latin typeface="Vale Sans" panose="020B050302020403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'!$C$12:$N$12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3</c:v>
                      </c:pt>
                      <c:pt idx="6">
                        <c:v>2</c:v>
                      </c:pt>
                      <c:pt idx="7">
                        <c:v>3</c:v>
                      </c:pt>
                      <c:pt idx="8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703-4D6A-9977-FE0A5FB48E90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'!$A$13:$B$13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Shortbranches '!$C$13:$N$13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0.05</c:v>
                      </c:pt>
                      <c:pt idx="1">
                        <c:v>0.05</c:v>
                      </c:pt>
                      <c:pt idx="2">
                        <c:v>0.05</c:v>
                      </c:pt>
                      <c:pt idx="3">
                        <c:v>0.05</c:v>
                      </c:pt>
                      <c:pt idx="4">
                        <c:v>0.05</c:v>
                      </c:pt>
                      <c:pt idx="5">
                        <c:v>0.05</c:v>
                      </c:pt>
                      <c:pt idx="6">
                        <c:v>0.05</c:v>
                      </c:pt>
                      <c:pt idx="7">
                        <c:v>0.05</c:v>
                      </c:pt>
                      <c:pt idx="8">
                        <c:v>0.05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703-4D6A-9977-FE0A5FB48E90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5"/>
          <c:order val="5"/>
          <c:tx>
            <c:strRef>
              <c:f>'2025 Plan Shortbranches '!$A$13:$B$13</c:f>
              <c:strCache>
                <c:ptCount val="2"/>
                <c:pt idx="0">
                  <c:v>ACTUAL</c:v>
                </c:pt>
              </c:strCache>
            </c:strRef>
          </c:tx>
          <c:spPr>
            <a:ln w="38100" cap="rnd">
              <a:solidFill>
                <a:srgbClr val="2D8F78"/>
              </a:solidFill>
              <a:round/>
            </a:ln>
            <a:effectLst/>
          </c:spPr>
          <c:marker>
            <c:symbol val="star"/>
            <c:size val="21"/>
            <c:spPr>
              <a:solidFill>
                <a:srgbClr val="2D8F78"/>
              </a:solidFill>
              <a:ln w="38100">
                <a:solidFill>
                  <a:srgbClr val="2D8F7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Vale Sans" panose="020B0503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Shortbranches 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  <c:extLst xmlns:c15="http://schemas.microsoft.com/office/drawing/2012/chart"/>
            </c:strRef>
          </c:cat>
          <c:val>
            <c:numRef>
              <c:f>'2025 Plan Shortbranches '!$C$13:$N$13</c:f>
              <c:numCache>
                <c:formatCode>0</c:formatCode>
                <c:ptCount val="12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7703-4D6A-9977-FE0A5FB48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'2025 Plan Shortbranches '!$A$10:$B$10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57150" cap="rnd">
                    <a:solidFill>
                      <a:srgbClr val="2D8F78"/>
                    </a:solidFill>
                    <a:round/>
                  </a:ln>
                  <a:effectLst/>
                </c:spPr>
                <c:marker>
                  <c:symbol val="x"/>
                  <c:size val="21"/>
                  <c:spPr>
                    <a:solidFill>
                      <a:srgbClr val="2D8F78"/>
                    </a:solidFill>
                    <a:ln w="57150">
                      <a:solidFill>
                        <a:srgbClr val="2D8F78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2000" b="1" i="0" u="none" strike="noStrike" kern="1200" baseline="0">
                          <a:solidFill>
                            <a:schemeClr val="bg1"/>
                          </a:solidFill>
                          <a:latin typeface="Vale Sans" panose="020B050302020403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'2025 Plan Shortbranches 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Shortbranches '!$C$10:$N$10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0.05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0.05</c:v>
                      </c:pt>
                      <c:pt idx="4">
                        <c:v>0.05</c:v>
                      </c:pt>
                      <c:pt idx="5">
                        <c:v>0.05</c:v>
                      </c:pt>
                      <c:pt idx="6">
                        <c:v>0.05</c:v>
                      </c:pt>
                      <c:pt idx="7">
                        <c:v>0.05</c:v>
                      </c:pt>
                      <c:pt idx="8">
                        <c:v>0.05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7703-4D6A-9977-FE0A5FB48E90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Vale Sans" panose="020B0503020204030204" pitchFamily="34" charset="0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  <c:max val="1.35"/>
          <c:min val="0"/>
        </c:scaling>
        <c:delete val="1"/>
        <c:axPos val="l"/>
        <c:numFmt formatCode="0" sourceLinked="1"/>
        <c:majorTickMark val="out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1724721687105029"/>
          <c:y val="0.87222708629656331"/>
          <c:w val="0.36683296862239012"/>
          <c:h val="9.42106144667627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ale Sans" panose="020B0503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DD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baseline="0"/>
              <a:t>DRYER-COALMILL</a:t>
            </a:r>
          </a:p>
          <a:p>
            <a:pPr>
              <a:defRPr sz="1800"/>
            </a:pPr>
            <a:r>
              <a:rPr lang="en-US" sz="2000" b="0" baseline="0"/>
              <a:t>Forces (Monthly)</a:t>
            </a:r>
            <a:endParaRPr lang="en-US" sz="2000" b="0"/>
          </a:p>
        </c:rich>
      </c:tx>
      <c:layout>
        <c:manualLayout>
          <c:xMode val="edge"/>
          <c:yMode val="edge"/>
          <c:x val="0.40425309052277558"/>
          <c:y val="1.57880416798417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73122411781860597"/>
        </c:manualLayout>
      </c:layout>
      <c:lineChart>
        <c:grouping val="standard"/>
        <c:varyColors val="0"/>
        <c:ser>
          <c:idx val="1"/>
          <c:order val="1"/>
          <c:tx>
            <c:strRef>
              <c:f>'2025 plan Forces'!$A$7:$B$7</c:f>
              <c:strCache>
                <c:ptCount val="2"/>
                <c:pt idx="0">
                  <c:v>PLAN</c:v>
                </c:pt>
              </c:strCache>
              <c:extLst xmlns:c15="http://schemas.microsoft.com/office/drawing/2012/chart"/>
            </c:strRef>
          </c:tx>
          <c:spPr>
            <a:ln w="3810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27"/>
            <c:spPr>
              <a:solidFill>
                <a:schemeClr val="tx1">
                  <a:lumMod val="50000"/>
                  <a:lumOff val="50000"/>
                </a:schemeClr>
              </a:solidFill>
              <a:ln w="3810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Forces'!$C$5:$N$5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  <c:extLst xmlns:c15="http://schemas.microsoft.com/office/drawing/2012/chart"/>
            </c:strRef>
          </c:cat>
          <c:val>
            <c:numRef>
              <c:f>'2025 plan Forces'!$C$7:$N$7</c:f>
              <c:numCache>
                <c:formatCode>0</c:formatCode>
                <c:ptCount val="12"/>
                <c:pt idx="0">
                  <c:v>8</c:v>
                </c:pt>
                <c:pt idx="1">
                  <c:v>8</c:v>
                </c:pt>
                <c:pt idx="2">
                  <c:v>0.49</c:v>
                </c:pt>
                <c:pt idx="3">
                  <c:v>0.49</c:v>
                </c:pt>
                <c:pt idx="4">
                  <c:v>0.49</c:v>
                </c:pt>
                <c:pt idx="5">
                  <c:v>0.49</c:v>
                </c:pt>
                <c:pt idx="6">
                  <c:v>0.49</c:v>
                </c:pt>
                <c:pt idx="7">
                  <c:v>0.49</c:v>
                </c:pt>
                <c:pt idx="8">
                  <c:v>0.49</c:v>
                </c:pt>
                <c:pt idx="9">
                  <c:v>0.49</c:v>
                </c:pt>
                <c:pt idx="10">
                  <c:v>0.49</c:v>
                </c:pt>
                <c:pt idx="11">
                  <c:v>0.49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47F6-4F49-9654-AFB64E9375E5}"/>
            </c:ext>
          </c:extLst>
        </c:ser>
        <c:ser>
          <c:idx val="5"/>
          <c:order val="5"/>
          <c:tx>
            <c:strRef>
              <c:f>'2025 plan Forces'!$A$11:$B$11</c:f>
              <c:strCache>
                <c:ptCount val="2"/>
                <c:pt idx="0">
                  <c:v>ACTUAL</c:v>
                </c:pt>
              </c:strCache>
              <c:extLst xmlns:c15="http://schemas.microsoft.com/office/drawing/2012/chart"/>
            </c:strRef>
          </c:tx>
          <c:spPr>
            <a:ln w="38100" cap="rnd">
              <a:solidFill>
                <a:srgbClr val="2D8F78"/>
              </a:solidFill>
              <a:round/>
            </a:ln>
            <a:effectLst/>
          </c:spPr>
          <c:marker>
            <c:symbol val="circle"/>
            <c:size val="27"/>
            <c:spPr>
              <a:solidFill>
                <a:srgbClr val="2D8F78"/>
              </a:solidFill>
              <a:ln w="38100">
                <a:solidFill>
                  <a:srgbClr val="2D8F7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Forces'!$C$5:$N$5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  <c:extLst xmlns:c15="http://schemas.microsoft.com/office/drawing/2012/chart"/>
            </c:strRef>
          </c:cat>
          <c:val>
            <c:numRef>
              <c:f>'2025 plan Forces'!$C$11:$N$11</c:f>
              <c:numCache>
                <c:formatCode>0</c:formatCode>
                <c:ptCount val="12"/>
                <c:pt idx="0">
                  <c:v>8</c:v>
                </c:pt>
                <c:pt idx="1">
                  <c:v>8</c:v>
                </c:pt>
                <c:pt idx="2">
                  <c:v>0.25</c:v>
                </c:pt>
                <c:pt idx="3">
                  <c:v>0.25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47F6-4F49-9654-AFB64E9375E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'2025 plan Forces'!$A$6:$B$6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bg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25"/>
                  <c:spPr>
                    <a:solidFill>
                      <a:schemeClr val="bg1">
                        <a:lumMod val="50000"/>
                      </a:schemeClr>
                    </a:solidFill>
                    <a:ln w="9525">
                      <a:solidFill>
                        <a:schemeClr val="bg1">
                          <a:lumMod val="5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'2025 plan Forces'!$C$5:$N$5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Forces'!$C$6:$N$6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</c:v>
                      </c:pt>
                      <c:pt idx="1">
                        <c:v>0.14000000000000001</c:v>
                      </c:pt>
                      <c:pt idx="2">
                        <c:v>0.14000000000000001</c:v>
                      </c:pt>
                      <c:pt idx="3">
                        <c:v>0.14000000000000001</c:v>
                      </c:pt>
                      <c:pt idx="4">
                        <c:v>0.14000000000000001</c:v>
                      </c:pt>
                      <c:pt idx="5">
                        <c:v>0.14000000000000001</c:v>
                      </c:pt>
                      <c:pt idx="6">
                        <c:v>0.14000000000000001</c:v>
                      </c:pt>
                      <c:pt idx="7">
                        <c:v>0.14000000000000001</c:v>
                      </c:pt>
                      <c:pt idx="8">
                        <c:v>0.14000000000000001</c:v>
                      </c:pt>
                      <c:pt idx="9">
                        <c:v>0.14000000000000001</c:v>
                      </c:pt>
                      <c:pt idx="10">
                        <c:v>0.14000000000000001</c:v>
                      </c:pt>
                      <c:pt idx="11">
                        <c:v>0.14000000000000001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7F6-4F49-9654-AFB64E9375E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Forces'!$A$8:$B$8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Forces'!$C$8:$N$8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7.0000000000000007E-2</c:v>
                      </c:pt>
                      <c:pt idx="1">
                        <c:v>7.0000000000000007E-2</c:v>
                      </c:pt>
                      <c:pt idx="2">
                        <c:v>7.0000000000000007E-2</c:v>
                      </c:pt>
                      <c:pt idx="3">
                        <c:v>7.0000000000000007E-2</c:v>
                      </c:pt>
                      <c:pt idx="4">
                        <c:v>7.0000000000000007E-2</c:v>
                      </c:pt>
                      <c:pt idx="5">
                        <c:v>7.0000000000000007E-2</c:v>
                      </c:pt>
                      <c:pt idx="6">
                        <c:v>7.0000000000000007E-2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7.0000000000000007E-2</c:v>
                      </c:pt>
                      <c:pt idx="10">
                        <c:v>7.0000000000000007E-2</c:v>
                      </c:pt>
                      <c:pt idx="11">
                        <c:v>7.0000000000000007E-2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7F6-4F49-9654-AFB64E9375E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Forces'!$A$9:$B$9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dLbl>
                    <c:idx val="4"/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4-47F6-4F49-9654-AFB64E9375E5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Forces'!$C$9:$N$9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</c:v>
                      </c:pt>
                      <c:pt idx="1">
                        <c:v>0.15</c:v>
                      </c:pt>
                      <c:pt idx="2">
                        <c:v>0.15</c:v>
                      </c:pt>
                      <c:pt idx="3">
                        <c:v>0.15</c:v>
                      </c:pt>
                      <c:pt idx="4">
                        <c:v>0.15</c:v>
                      </c:pt>
                      <c:pt idx="5">
                        <c:v>0.15</c:v>
                      </c:pt>
                      <c:pt idx="6">
                        <c:v>0.15</c:v>
                      </c:pt>
                      <c:pt idx="7">
                        <c:v>0.15</c:v>
                      </c:pt>
                      <c:pt idx="8">
                        <c:v>0.15</c:v>
                      </c:pt>
                      <c:pt idx="9">
                        <c:v>0.15</c:v>
                      </c:pt>
                      <c:pt idx="10">
                        <c:v>0.15</c:v>
                      </c:pt>
                      <c:pt idx="11">
                        <c:v>0.15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7F6-4F49-9654-AFB64E9375E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Forces'!$A$10:$B$10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2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Forces'!$C$10:$N$10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1</c:v>
                      </c:pt>
                      <c:pt idx="4">
                        <c:v>2</c:v>
                      </c:pt>
                      <c:pt idx="5">
                        <c:v>1</c:v>
                      </c:pt>
                      <c:pt idx="6">
                        <c:v>0.09</c:v>
                      </c:pt>
                      <c:pt idx="7">
                        <c:v>1</c:v>
                      </c:pt>
                      <c:pt idx="8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47F6-4F49-9654-AFB64E9375E5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Forces'!$A$12:$B$12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Forces'!$C$12:$N$12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0.04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0.04</c:v>
                      </c:pt>
                      <c:pt idx="7">
                        <c:v>0.04</c:v>
                      </c:pt>
                      <c:pt idx="8">
                        <c:v>0.04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7F6-4F49-9654-AFB64E9375E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Forces'!$A$13:$B$13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Forces'!$C$13:$N$13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0.09</c:v>
                      </c:pt>
                      <c:pt idx="5">
                        <c:v>0.09</c:v>
                      </c:pt>
                      <c:pt idx="6">
                        <c:v>0.09</c:v>
                      </c:pt>
                      <c:pt idx="7">
                        <c:v>0.09</c:v>
                      </c:pt>
                      <c:pt idx="8">
                        <c:v>0.09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7F6-4F49-9654-AFB64E9375E5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6731333747460854"/>
          <c:y val="0.91346394434048794"/>
          <c:w val="0.28962024142588971"/>
          <c:h val="7.41393654781787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baseline="0"/>
              <a:t>FURNACE</a:t>
            </a:r>
          </a:p>
          <a:p>
            <a:pPr>
              <a:defRPr sz="1800"/>
            </a:pPr>
            <a:r>
              <a:rPr lang="en-US" sz="2000" b="0" baseline="0"/>
              <a:t>Forces (Monthly)</a:t>
            </a:r>
            <a:endParaRPr lang="en-US" sz="2000" b="0"/>
          </a:p>
        </c:rich>
      </c:tx>
      <c:layout>
        <c:manualLayout>
          <c:xMode val="edge"/>
          <c:yMode val="edge"/>
          <c:x val="0.39819667427935146"/>
          <c:y val="2.41630506210729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73122411781860597"/>
        </c:manualLayout>
      </c:layout>
      <c:lineChart>
        <c:grouping val="standard"/>
        <c:varyColors val="0"/>
        <c:ser>
          <c:idx val="2"/>
          <c:order val="2"/>
          <c:tx>
            <c:strRef>
              <c:f>'2025 plan Forces'!$A$8:$B$8</c:f>
              <c:strCache>
                <c:ptCount val="2"/>
                <c:pt idx="0">
                  <c:v>PLAN</c:v>
                </c:pt>
              </c:strCache>
              <c:extLst xmlns:c15="http://schemas.microsoft.com/office/drawing/2012/chart"/>
            </c:strRef>
          </c:tx>
          <c:spPr>
            <a:ln w="3810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25"/>
            <c:spPr>
              <a:solidFill>
                <a:schemeClr val="tx1">
                  <a:lumMod val="50000"/>
                  <a:lumOff val="50000"/>
                </a:schemeClr>
              </a:solidFill>
              <a:ln w="3810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Forces'!$C$5:$N$5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  <c:extLst xmlns:c15="http://schemas.microsoft.com/office/drawing/2012/chart"/>
            </c:strRef>
          </c:cat>
          <c:val>
            <c:numRef>
              <c:f>'2025 plan Forces'!$C$8:$N$8</c:f>
              <c:numCache>
                <c:formatCode>0</c:formatCode>
                <c:ptCount val="12"/>
                <c:pt idx="0">
                  <c:v>7.0000000000000007E-2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7.0000000000000007E-2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6AF3-460C-A89E-793585F25DC3}"/>
            </c:ext>
          </c:extLst>
        </c:ser>
        <c:ser>
          <c:idx val="6"/>
          <c:order val="6"/>
          <c:tx>
            <c:strRef>
              <c:f>'2025 plan Forces'!$A$12:$B$12</c:f>
              <c:strCache>
                <c:ptCount val="2"/>
                <c:pt idx="0">
                  <c:v>ACTUAL</c:v>
                </c:pt>
              </c:strCache>
              <c:extLst xmlns:c15="http://schemas.microsoft.com/office/drawing/2012/chart"/>
            </c:strRef>
          </c:tx>
          <c:spPr>
            <a:ln w="38100" cap="rnd">
              <a:solidFill>
                <a:srgbClr val="2D8F78"/>
              </a:solidFill>
              <a:round/>
            </a:ln>
            <a:effectLst/>
          </c:spPr>
          <c:marker>
            <c:symbol val="circle"/>
            <c:size val="25"/>
            <c:spPr>
              <a:solidFill>
                <a:srgbClr val="2D8F78"/>
              </a:solidFill>
              <a:ln w="38100">
                <a:solidFill>
                  <a:srgbClr val="2D8F7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Forces'!$C$5:$N$5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  <c:extLst xmlns:c15="http://schemas.microsoft.com/office/drawing/2012/chart"/>
            </c:strRef>
          </c:cat>
          <c:val>
            <c:numRef>
              <c:f>'2025 plan Forces'!$C$12:$N$12</c:f>
              <c:numCache>
                <c:formatCode>0</c:formatCode>
                <c:ptCount val="12"/>
                <c:pt idx="0">
                  <c:v>0.04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0.04</c:v>
                </c:pt>
                <c:pt idx="7">
                  <c:v>0.04</c:v>
                </c:pt>
                <c:pt idx="8">
                  <c:v>0.04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6AF3-460C-A89E-793585F25DC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'2025 plan Forces'!$A$6:$B$6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bg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25"/>
                  <c:spPr>
                    <a:solidFill>
                      <a:schemeClr val="bg1">
                        <a:lumMod val="50000"/>
                      </a:schemeClr>
                    </a:solidFill>
                    <a:ln w="9525">
                      <a:solidFill>
                        <a:schemeClr val="bg1">
                          <a:lumMod val="5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'2025 plan Forces'!$C$5:$N$5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Forces'!$C$6:$N$6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</c:v>
                      </c:pt>
                      <c:pt idx="1">
                        <c:v>0.14000000000000001</c:v>
                      </c:pt>
                      <c:pt idx="2">
                        <c:v>0.14000000000000001</c:v>
                      </c:pt>
                      <c:pt idx="3">
                        <c:v>0.14000000000000001</c:v>
                      </c:pt>
                      <c:pt idx="4">
                        <c:v>0.14000000000000001</c:v>
                      </c:pt>
                      <c:pt idx="5">
                        <c:v>0.14000000000000001</c:v>
                      </c:pt>
                      <c:pt idx="6">
                        <c:v>0.14000000000000001</c:v>
                      </c:pt>
                      <c:pt idx="7">
                        <c:v>0.14000000000000001</c:v>
                      </c:pt>
                      <c:pt idx="8">
                        <c:v>0.14000000000000001</c:v>
                      </c:pt>
                      <c:pt idx="9">
                        <c:v>0.14000000000000001</c:v>
                      </c:pt>
                      <c:pt idx="10">
                        <c:v>0.14000000000000001</c:v>
                      </c:pt>
                      <c:pt idx="11">
                        <c:v>0.14000000000000001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6AF3-460C-A89E-793585F25DC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Forces'!$A$7:$B$7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2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Forces'!$C$7:$N$7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8</c:v>
                      </c:pt>
                      <c:pt idx="1">
                        <c:v>8</c:v>
                      </c:pt>
                      <c:pt idx="2">
                        <c:v>0.49</c:v>
                      </c:pt>
                      <c:pt idx="3">
                        <c:v>0.49</c:v>
                      </c:pt>
                      <c:pt idx="4">
                        <c:v>0.49</c:v>
                      </c:pt>
                      <c:pt idx="5">
                        <c:v>0.49</c:v>
                      </c:pt>
                      <c:pt idx="6">
                        <c:v>0.49</c:v>
                      </c:pt>
                      <c:pt idx="7">
                        <c:v>0.49</c:v>
                      </c:pt>
                      <c:pt idx="8">
                        <c:v>0.49</c:v>
                      </c:pt>
                      <c:pt idx="9">
                        <c:v>0.49</c:v>
                      </c:pt>
                      <c:pt idx="10">
                        <c:v>0.49</c:v>
                      </c:pt>
                      <c:pt idx="11">
                        <c:v>0.49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6AF3-460C-A89E-793585F25DC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Forces'!$A$9:$B$9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dLbl>
                    <c:idx val="4"/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4-6AF3-460C-A89E-793585F25DC3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Forces'!$C$9:$N$9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</c:v>
                      </c:pt>
                      <c:pt idx="1">
                        <c:v>0.15</c:v>
                      </c:pt>
                      <c:pt idx="2">
                        <c:v>0.15</c:v>
                      </c:pt>
                      <c:pt idx="3">
                        <c:v>0.15</c:v>
                      </c:pt>
                      <c:pt idx="4">
                        <c:v>0.15</c:v>
                      </c:pt>
                      <c:pt idx="5">
                        <c:v>0.15</c:v>
                      </c:pt>
                      <c:pt idx="6">
                        <c:v>0.15</c:v>
                      </c:pt>
                      <c:pt idx="7">
                        <c:v>0.15</c:v>
                      </c:pt>
                      <c:pt idx="8">
                        <c:v>0.15</c:v>
                      </c:pt>
                      <c:pt idx="9">
                        <c:v>0.15</c:v>
                      </c:pt>
                      <c:pt idx="10">
                        <c:v>0.15</c:v>
                      </c:pt>
                      <c:pt idx="11">
                        <c:v>0.15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AF3-460C-A89E-793585F25DC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Forces'!$A$10:$B$10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2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Forces'!$C$10:$N$10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1</c:v>
                      </c:pt>
                      <c:pt idx="4">
                        <c:v>2</c:v>
                      </c:pt>
                      <c:pt idx="5">
                        <c:v>1</c:v>
                      </c:pt>
                      <c:pt idx="6">
                        <c:v>0.09</c:v>
                      </c:pt>
                      <c:pt idx="7">
                        <c:v>1</c:v>
                      </c:pt>
                      <c:pt idx="8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AF3-460C-A89E-793585F25DC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Forces'!$A$11:$B$11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2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8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Forces'!$C$11:$N$11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8</c:v>
                      </c:pt>
                      <c:pt idx="1">
                        <c:v>8</c:v>
                      </c:pt>
                      <c:pt idx="2">
                        <c:v>0.25</c:v>
                      </c:pt>
                      <c:pt idx="3">
                        <c:v>0.25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AF3-460C-A89E-793585F25DC3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Forces'!$A$13:$B$13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Forces'!$C$13:$N$13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0.09</c:v>
                      </c:pt>
                      <c:pt idx="5">
                        <c:v>0.09</c:v>
                      </c:pt>
                      <c:pt idx="6">
                        <c:v>0.09</c:v>
                      </c:pt>
                      <c:pt idx="7">
                        <c:v>0.09</c:v>
                      </c:pt>
                      <c:pt idx="8">
                        <c:v>0.09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6AF3-460C-A89E-793585F25DC3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6905931962438926"/>
          <c:y val="0.91346394434048794"/>
          <c:w val="0.27054472506165311"/>
          <c:h val="7.41393654781787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baseline="0"/>
              <a:t>CONVERTER</a:t>
            </a:r>
          </a:p>
          <a:p>
            <a:pPr>
              <a:defRPr sz="1800"/>
            </a:pPr>
            <a:r>
              <a:rPr lang="en-US" sz="2000" b="0" baseline="0"/>
              <a:t>Forces (Monthly)</a:t>
            </a:r>
            <a:endParaRPr lang="en-US" sz="2000" b="0"/>
          </a:p>
        </c:rich>
      </c:tx>
      <c:layout>
        <c:manualLayout>
          <c:xMode val="edge"/>
          <c:yMode val="edge"/>
          <c:x val="0.3950862676256377"/>
          <c:y val="1.57880416798417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73122411781860597"/>
        </c:manualLayout>
      </c:layout>
      <c:lineChart>
        <c:grouping val="standard"/>
        <c:varyColors val="0"/>
        <c:ser>
          <c:idx val="3"/>
          <c:order val="3"/>
          <c:tx>
            <c:strRef>
              <c:f>'2025 plan Forces'!$A$9:$B$9</c:f>
              <c:strCache>
                <c:ptCount val="2"/>
                <c:pt idx="0">
                  <c:v>PLAN</c:v>
                </c:pt>
              </c:strCache>
              <c:extLst xmlns:c15="http://schemas.microsoft.com/office/drawing/2012/chart"/>
            </c:strRef>
          </c:tx>
          <c:spPr>
            <a:ln w="3810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25"/>
            <c:spPr>
              <a:solidFill>
                <a:schemeClr val="tx1">
                  <a:lumMod val="50000"/>
                  <a:lumOff val="50000"/>
                </a:schemeClr>
              </a:solidFill>
              <a:ln w="3810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Forces'!$C$5:$N$5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  <c:extLst xmlns:c15="http://schemas.microsoft.com/office/drawing/2012/chart"/>
            </c:strRef>
          </c:cat>
          <c:val>
            <c:numRef>
              <c:f>'2025 plan Forces'!$C$9:$N$9</c:f>
              <c:numCache>
                <c:formatCode>0</c:formatCode>
                <c:ptCount val="12"/>
                <c:pt idx="0">
                  <c:v>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0.15</c:v>
                </c:pt>
                <c:pt idx="7">
                  <c:v>0.15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7415-4106-8467-913213DDBF52}"/>
            </c:ext>
          </c:extLst>
        </c:ser>
        <c:ser>
          <c:idx val="7"/>
          <c:order val="7"/>
          <c:tx>
            <c:strRef>
              <c:f>'2025 plan Forces'!$A$13:$B$13</c:f>
              <c:strCache>
                <c:ptCount val="2"/>
                <c:pt idx="0">
                  <c:v>ACTUAL</c:v>
                </c:pt>
              </c:strCache>
              <c:extLst xmlns:c15="http://schemas.microsoft.com/office/drawing/2012/chart"/>
            </c:strRef>
          </c:tx>
          <c:spPr>
            <a:ln w="38100" cap="rnd">
              <a:solidFill>
                <a:srgbClr val="2D8F78"/>
              </a:solidFill>
              <a:round/>
            </a:ln>
            <a:effectLst/>
          </c:spPr>
          <c:marker>
            <c:symbol val="circle"/>
            <c:size val="25"/>
            <c:spPr>
              <a:solidFill>
                <a:srgbClr val="2D8F78"/>
              </a:solidFill>
              <a:ln w="38100">
                <a:solidFill>
                  <a:srgbClr val="2D8F7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Forces'!$C$5:$N$5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  <c:extLst xmlns:c15="http://schemas.microsoft.com/office/drawing/2012/chart"/>
            </c:strRef>
          </c:cat>
          <c:val>
            <c:numRef>
              <c:f>'2025 plan Forces'!$C$13:$N$13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0.09</c:v>
                </c:pt>
                <c:pt idx="5">
                  <c:v>0.09</c:v>
                </c:pt>
                <c:pt idx="6">
                  <c:v>0.09</c:v>
                </c:pt>
                <c:pt idx="7">
                  <c:v>0.09</c:v>
                </c:pt>
                <c:pt idx="8">
                  <c:v>0.09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7415-4106-8467-913213DDBF5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'2025 plan Forces'!$A$6:$B$6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bg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25"/>
                  <c:spPr>
                    <a:solidFill>
                      <a:schemeClr val="bg1">
                        <a:lumMod val="50000"/>
                      </a:schemeClr>
                    </a:solidFill>
                    <a:ln w="9525">
                      <a:solidFill>
                        <a:schemeClr val="bg1">
                          <a:lumMod val="5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'2025 plan Forces'!$C$5:$N$5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Forces'!$C$6:$N$6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</c:v>
                      </c:pt>
                      <c:pt idx="1">
                        <c:v>0.14000000000000001</c:v>
                      </c:pt>
                      <c:pt idx="2">
                        <c:v>0.14000000000000001</c:v>
                      </c:pt>
                      <c:pt idx="3">
                        <c:v>0.14000000000000001</c:v>
                      </c:pt>
                      <c:pt idx="4">
                        <c:v>0.14000000000000001</c:v>
                      </c:pt>
                      <c:pt idx="5">
                        <c:v>0.14000000000000001</c:v>
                      </c:pt>
                      <c:pt idx="6">
                        <c:v>0.14000000000000001</c:v>
                      </c:pt>
                      <c:pt idx="7">
                        <c:v>0.14000000000000001</c:v>
                      </c:pt>
                      <c:pt idx="8">
                        <c:v>0.14000000000000001</c:v>
                      </c:pt>
                      <c:pt idx="9">
                        <c:v>0.14000000000000001</c:v>
                      </c:pt>
                      <c:pt idx="10">
                        <c:v>0.14000000000000001</c:v>
                      </c:pt>
                      <c:pt idx="11">
                        <c:v>0.14000000000000001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7415-4106-8467-913213DDBF5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Forces'!$A$7:$B$7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2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Forces'!$C$7:$N$7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8</c:v>
                      </c:pt>
                      <c:pt idx="1">
                        <c:v>8</c:v>
                      </c:pt>
                      <c:pt idx="2">
                        <c:v>0.49</c:v>
                      </c:pt>
                      <c:pt idx="3">
                        <c:v>0.49</c:v>
                      </c:pt>
                      <c:pt idx="4">
                        <c:v>0.49</c:v>
                      </c:pt>
                      <c:pt idx="5">
                        <c:v>0.49</c:v>
                      </c:pt>
                      <c:pt idx="6">
                        <c:v>0.49</c:v>
                      </c:pt>
                      <c:pt idx="7">
                        <c:v>0.49</c:v>
                      </c:pt>
                      <c:pt idx="8">
                        <c:v>0.49</c:v>
                      </c:pt>
                      <c:pt idx="9">
                        <c:v>0.49</c:v>
                      </c:pt>
                      <c:pt idx="10">
                        <c:v>0.49</c:v>
                      </c:pt>
                      <c:pt idx="11">
                        <c:v>0.49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415-4106-8467-913213DDBF5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Forces'!$A$8:$B$8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circle"/>
                  <c:size val="25"/>
                  <c:spPr>
                    <a:solidFill>
                      <a:srgbClr val="FF0000"/>
                    </a:solidFill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Forces'!$C$8:$N$8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7.0000000000000007E-2</c:v>
                      </c:pt>
                      <c:pt idx="1">
                        <c:v>7.0000000000000007E-2</c:v>
                      </c:pt>
                      <c:pt idx="2">
                        <c:v>7.0000000000000007E-2</c:v>
                      </c:pt>
                      <c:pt idx="3">
                        <c:v>7.0000000000000007E-2</c:v>
                      </c:pt>
                      <c:pt idx="4">
                        <c:v>7.0000000000000007E-2</c:v>
                      </c:pt>
                      <c:pt idx="5">
                        <c:v>7.0000000000000007E-2</c:v>
                      </c:pt>
                      <c:pt idx="6">
                        <c:v>7.0000000000000007E-2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7.0000000000000007E-2</c:v>
                      </c:pt>
                      <c:pt idx="10">
                        <c:v>7.0000000000000007E-2</c:v>
                      </c:pt>
                      <c:pt idx="11">
                        <c:v>7.0000000000000007E-2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7415-4106-8467-913213DDBF5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Forces'!$A$10:$B$10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2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Forces'!$C$10:$N$10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1</c:v>
                      </c:pt>
                      <c:pt idx="4">
                        <c:v>2</c:v>
                      </c:pt>
                      <c:pt idx="5">
                        <c:v>1</c:v>
                      </c:pt>
                      <c:pt idx="6">
                        <c:v>0.09</c:v>
                      </c:pt>
                      <c:pt idx="7">
                        <c:v>1</c:v>
                      </c:pt>
                      <c:pt idx="8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415-4106-8467-913213DDBF5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Forces'!$A$11:$B$11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2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Forces'!$C$11:$N$11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8</c:v>
                      </c:pt>
                      <c:pt idx="1">
                        <c:v>8</c:v>
                      </c:pt>
                      <c:pt idx="2">
                        <c:v>0.25</c:v>
                      </c:pt>
                      <c:pt idx="3">
                        <c:v>0.25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415-4106-8467-913213DDBF5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Forces'!$A$12:$B$12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2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Forces'!$C$12:$N$12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0.04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0.04</c:v>
                      </c:pt>
                      <c:pt idx="7">
                        <c:v>0.04</c:v>
                      </c:pt>
                      <c:pt idx="8">
                        <c:v>0.04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415-4106-8467-913213DDBF52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519793672769862"/>
          <c:y val="0.91346394434048794"/>
          <c:w val="0.30173283657920719"/>
          <c:h val="7.41393654781787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baseline="0"/>
              <a:t>KILN - CTS</a:t>
            </a:r>
          </a:p>
          <a:p>
            <a:pPr>
              <a:defRPr sz="1800"/>
            </a:pPr>
            <a:r>
              <a:rPr lang="en-US" sz="2000" b="0" baseline="0"/>
              <a:t>Forces (Monthly)</a:t>
            </a:r>
            <a:endParaRPr lang="en-US" sz="2000" b="0"/>
          </a:p>
        </c:rich>
      </c:tx>
      <c:layout>
        <c:manualLayout>
          <c:xMode val="edge"/>
          <c:yMode val="edge"/>
          <c:x val="0.401876138588737"/>
          <c:y val="1.36655438040108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73122411781860597"/>
        </c:manualLayout>
      </c:layout>
      <c:lineChart>
        <c:grouping val="standard"/>
        <c:varyColors val="0"/>
        <c:ser>
          <c:idx val="0"/>
          <c:order val="0"/>
          <c:tx>
            <c:strRef>
              <c:f>'2025 plan Forces'!$A$6:$B$6</c:f>
              <c:strCache>
                <c:ptCount val="2"/>
                <c:pt idx="0">
                  <c:v>PLAN</c:v>
                </c:pt>
              </c:strCache>
            </c:strRef>
          </c:tx>
          <c:spPr>
            <a:ln w="3810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25"/>
            <c:spPr>
              <a:solidFill>
                <a:schemeClr val="tx1">
                  <a:lumMod val="50000"/>
                  <a:lumOff val="50000"/>
                </a:schemeClr>
              </a:solidFill>
              <a:ln w="3810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Forces'!$C$5:$N$5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 plan Forces'!$C$6:$N$6</c:f>
              <c:numCache>
                <c:formatCode>0</c:formatCode>
                <c:ptCount val="12"/>
                <c:pt idx="0">
                  <c:v>1</c:v>
                </c:pt>
                <c:pt idx="1">
                  <c:v>0.14000000000000001</c:v>
                </c:pt>
                <c:pt idx="2">
                  <c:v>0.14000000000000001</c:v>
                </c:pt>
                <c:pt idx="3">
                  <c:v>0.14000000000000001</c:v>
                </c:pt>
                <c:pt idx="4">
                  <c:v>0.14000000000000001</c:v>
                </c:pt>
                <c:pt idx="5">
                  <c:v>0.14000000000000001</c:v>
                </c:pt>
                <c:pt idx="6">
                  <c:v>0.14000000000000001</c:v>
                </c:pt>
                <c:pt idx="7">
                  <c:v>0.14000000000000001</c:v>
                </c:pt>
                <c:pt idx="8">
                  <c:v>0.14000000000000001</c:v>
                </c:pt>
                <c:pt idx="9">
                  <c:v>0.14000000000000001</c:v>
                </c:pt>
                <c:pt idx="10">
                  <c:v>0.14000000000000001</c:v>
                </c:pt>
                <c:pt idx="11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92-469C-979E-3199E6EBA720}"/>
            </c:ext>
          </c:extLst>
        </c:ser>
        <c:ser>
          <c:idx val="4"/>
          <c:order val="4"/>
          <c:tx>
            <c:strRef>
              <c:f>'2025 plan Forces'!$A$10:$B$10</c:f>
              <c:strCache>
                <c:ptCount val="2"/>
                <c:pt idx="0">
                  <c:v>ACTUAL</c:v>
                </c:pt>
              </c:strCache>
            </c:strRef>
          </c:tx>
          <c:spPr>
            <a:ln w="38100" cap="rnd">
              <a:solidFill>
                <a:srgbClr val="2D8F78"/>
              </a:solidFill>
              <a:round/>
            </a:ln>
            <a:effectLst/>
          </c:spPr>
          <c:marker>
            <c:symbol val="circle"/>
            <c:size val="25"/>
            <c:spPr>
              <a:solidFill>
                <a:srgbClr val="2D8F78"/>
              </a:solidFill>
              <a:ln w="38100">
                <a:solidFill>
                  <a:srgbClr val="2D8F7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Forces'!$C$5:$N$5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 plan Forces'!$C$10:$N$10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0.09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92-469C-979E-3199E6EBA72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'2025 plan Forces'!$A$7:$B$7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ormulaRef>
                          <c15:sqref>'2025 plan Forces'!$C$5:$N$5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Forces'!$C$7:$N$7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8</c:v>
                      </c:pt>
                      <c:pt idx="1">
                        <c:v>8</c:v>
                      </c:pt>
                      <c:pt idx="2">
                        <c:v>0.49</c:v>
                      </c:pt>
                      <c:pt idx="3">
                        <c:v>0.49</c:v>
                      </c:pt>
                      <c:pt idx="4">
                        <c:v>0.49</c:v>
                      </c:pt>
                      <c:pt idx="5">
                        <c:v>0.49</c:v>
                      </c:pt>
                      <c:pt idx="6">
                        <c:v>0.49</c:v>
                      </c:pt>
                      <c:pt idx="7">
                        <c:v>0.49</c:v>
                      </c:pt>
                      <c:pt idx="8">
                        <c:v>0.49</c:v>
                      </c:pt>
                      <c:pt idx="9">
                        <c:v>0.49</c:v>
                      </c:pt>
                      <c:pt idx="10">
                        <c:v>0.49</c:v>
                      </c:pt>
                      <c:pt idx="11">
                        <c:v>0.49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6492-469C-979E-3199E6EBA72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Forces'!$A$8:$B$8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Forces'!$C$8:$N$8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7.0000000000000007E-2</c:v>
                      </c:pt>
                      <c:pt idx="1">
                        <c:v>7.0000000000000007E-2</c:v>
                      </c:pt>
                      <c:pt idx="2">
                        <c:v>7.0000000000000007E-2</c:v>
                      </c:pt>
                      <c:pt idx="3">
                        <c:v>7.0000000000000007E-2</c:v>
                      </c:pt>
                      <c:pt idx="4">
                        <c:v>7.0000000000000007E-2</c:v>
                      </c:pt>
                      <c:pt idx="5">
                        <c:v>7.0000000000000007E-2</c:v>
                      </c:pt>
                      <c:pt idx="6">
                        <c:v>7.0000000000000007E-2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7.0000000000000007E-2</c:v>
                      </c:pt>
                      <c:pt idx="10">
                        <c:v>7.0000000000000007E-2</c:v>
                      </c:pt>
                      <c:pt idx="11">
                        <c:v>7.0000000000000007E-2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92-469C-979E-3199E6EBA72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Forces'!$A$9:$B$9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dLbl>
                    <c:idx val="4"/>
                    <c:layout>
                      <c:manualLayout>
                        <c:x val="-2.0246911294959619E-2"/>
                        <c:y val="-1.3231416683475725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4-6492-469C-979E-3199E6EBA72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Forces'!$C$9:$N$9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</c:v>
                      </c:pt>
                      <c:pt idx="1">
                        <c:v>0.15</c:v>
                      </c:pt>
                      <c:pt idx="2">
                        <c:v>0.15</c:v>
                      </c:pt>
                      <c:pt idx="3">
                        <c:v>0.15</c:v>
                      </c:pt>
                      <c:pt idx="4">
                        <c:v>0.15</c:v>
                      </c:pt>
                      <c:pt idx="5">
                        <c:v>0.15</c:v>
                      </c:pt>
                      <c:pt idx="6">
                        <c:v>0.15</c:v>
                      </c:pt>
                      <c:pt idx="7">
                        <c:v>0.15</c:v>
                      </c:pt>
                      <c:pt idx="8">
                        <c:v>0.15</c:v>
                      </c:pt>
                      <c:pt idx="9">
                        <c:v>0.15</c:v>
                      </c:pt>
                      <c:pt idx="10">
                        <c:v>0.15</c:v>
                      </c:pt>
                      <c:pt idx="11">
                        <c:v>0.15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492-469C-979E-3199E6EBA72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Forces'!$A$11:$B$11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Forces'!$C$11:$N$11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8</c:v>
                      </c:pt>
                      <c:pt idx="1">
                        <c:v>8</c:v>
                      </c:pt>
                      <c:pt idx="2">
                        <c:v>0.25</c:v>
                      </c:pt>
                      <c:pt idx="3">
                        <c:v>0.25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92-469C-979E-3199E6EBA72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Forces'!$A$12:$B$12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Forces'!$C$12:$N$12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0.04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0.04</c:v>
                      </c:pt>
                      <c:pt idx="7">
                        <c:v>0.04</c:v>
                      </c:pt>
                      <c:pt idx="8">
                        <c:v>0.04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492-469C-979E-3199E6EBA720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Forces'!$A$13:$B$13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Forces'!$C$13:$N$13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0.09</c:v>
                      </c:pt>
                      <c:pt idx="5">
                        <c:v>0.09</c:v>
                      </c:pt>
                      <c:pt idx="6">
                        <c:v>0.09</c:v>
                      </c:pt>
                      <c:pt idx="7">
                        <c:v>0.09</c:v>
                      </c:pt>
                      <c:pt idx="8">
                        <c:v>0.09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6492-469C-979E-3199E6EBA720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Vale Sans" panose="020B0503020204030204" pitchFamily="34" charset="0"/>
                <a:ea typeface="+mn-ea"/>
                <a:cs typeface="+mn-cs"/>
              </a:defRPr>
            </a:pPr>
            <a:r>
              <a:rPr lang="en-US" sz="1800" b="1" baseline="0">
                <a:latin typeface="Vale Sans" panose="020B0503020204030204" pitchFamily="34" charset="0"/>
              </a:rPr>
              <a:t>KILN - CTS</a:t>
            </a:r>
          </a:p>
          <a:p>
            <a:pPr>
              <a:defRPr sz="1800">
                <a:latin typeface="Vale Sans" panose="020B0503020204030204" pitchFamily="34" charset="0"/>
              </a:defRPr>
            </a:pPr>
            <a:r>
              <a:rPr lang="en-US" sz="1800" b="0" baseline="0">
                <a:latin typeface="Vale Sans" panose="020B0503020204030204" pitchFamily="34" charset="0"/>
              </a:rPr>
              <a:t>Forces (Monthly)</a:t>
            </a:r>
            <a:endParaRPr lang="en-US" sz="1800" b="0">
              <a:latin typeface="Vale Sans" panose="020B0503020204030204" pitchFamily="34" charset="0"/>
            </a:endParaRPr>
          </a:p>
        </c:rich>
      </c:tx>
      <c:layout>
        <c:manualLayout>
          <c:xMode val="edge"/>
          <c:yMode val="edge"/>
          <c:x val="0.3877270871129232"/>
          <c:y val="1.57355993542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Vale Sans" panose="020B0503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692438723968361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'2025 plan Forces'!$A$6:$B$6</c:f>
              <c:strCache>
                <c:ptCount val="2"/>
                <c:pt idx="0">
                  <c:v>PLAN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6350"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6.5980469780944836E-3"/>
                  <c:y val="-3.09236859781433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D38-491B-95F7-4CE3845B73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ale Sans" panose="020B0503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Forces'!$C$5:$N$5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 plan Forces'!$C$6:$N$6</c:f>
              <c:numCache>
                <c:formatCode>0</c:formatCode>
                <c:ptCount val="12"/>
                <c:pt idx="0">
                  <c:v>1</c:v>
                </c:pt>
                <c:pt idx="1">
                  <c:v>0.14000000000000001</c:v>
                </c:pt>
                <c:pt idx="2">
                  <c:v>0.14000000000000001</c:v>
                </c:pt>
                <c:pt idx="3">
                  <c:v>0.14000000000000001</c:v>
                </c:pt>
                <c:pt idx="4">
                  <c:v>0.14000000000000001</c:v>
                </c:pt>
                <c:pt idx="5">
                  <c:v>0.14000000000000001</c:v>
                </c:pt>
                <c:pt idx="6">
                  <c:v>0.14000000000000001</c:v>
                </c:pt>
                <c:pt idx="7">
                  <c:v>0.14000000000000001</c:v>
                </c:pt>
                <c:pt idx="8">
                  <c:v>0.14000000000000001</c:v>
                </c:pt>
                <c:pt idx="9">
                  <c:v>0.14000000000000001</c:v>
                </c:pt>
                <c:pt idx="10">
                  <c:v>0.14000000000000001</c:v>
                </c:pt>
                <c:pt idx="11">
                  <c:v>0.14000000000000001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38-491B-95F7-4CE3845B73E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5"/>
        <c:axId val="950571840"/>
        <c:axId val="95056716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'2025 plan Forces'!$A$7:$B$7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ormulaRef>
                          <c15:sqref>'2025 plan Forces'!$C$5:$N$5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Forces'!$C$7:$N$7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8</c:v>
                      </c:pt>
                      <c:pt idx="1">
                        <c:v>8</c:v>
                      </c:pt>
                      <c:pt idx="2">
                        <c:v>0.49</c:v>
                      </c:pt>
                      <c:pt idx="3">
                        <c:v>0.49</c:v>
                      </c:pt>
                      <c:pt idx="4">
                        <c:v>0.49</c:v>
                      </c:pt>
                      <c:pt idx="5">
                        <c:v>0.49</c:v>
                      </c:pt>
                      <c:pt idx="6">
                        <c:v>0.49</c:v>
                      </c:pt>
                      <c:pt idx="7">
                        <c:v>0.49</c:v>
                      </c:pt>
                      <c:pt idx="8">
                        <c:v>0.49</c:v>
                      </c:pt>
                      <c:pt idx="9">
                        <c:v>0.49</c:v>
                      </c:pt>
                      <c:pt idx="10">
                        <c:v>0.49</c:v>
                      </c:pt>
                      <c:pt idx="11">
                        <c:v>0.49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1D38-491B-95F7-4CE3845B73EA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Forces'!$A$8:$B$8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Forces'!$C$8:$N$8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7.0000000000000007E-2</c:v>
                      </c:pt>
                      <c:pt idx="1">
                        <c:v>7.0000000000000007E-2</c:v>
                      </c:pt>
                      <c:pt idx="2">
                        <c:v>7.0000000000000007E-2</c:v>
                      </c:pt>
                      <c:pt idx="3">
                        <c:v>7.0000000000000007E-2</c:v>
                      </c:pt>
                      <c:pt idx="4">
                        <c:v>7.0000000000000007E-2</c:v>
                      </c:pt>
                      <c:pt idx="5">
                        <c:v>7.0000000000000007E-2</c:v>
                      </c:pt>
                      <c:pt idx="6">
                        <c:v>7.0000000000000007E-2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7.0000000000000007E-2</c:v>
                      </c:pt>
                      <c:pt idx="10">
                        <c:v>7.0000000000000007E-2</c:v>
                      </c:pt>
                      <c:pt idx="11">
                        <c:v>7.0000000000000007E-2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D38-491B-95F7-4CE3845B73EA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Forces'!$A$9:$B$9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Forces'!$C$9:$N$9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</c:v>
                      </c:pt>
                      <c:pt idx="1">
                        <c:v>0.15</c:v>
                      </c:pt>
                      <c:pt idx="2">
                        <c:v>0.15</c:v>
                      </c:pt>
                      <c:pt idx="3">
                        <c:v>0.15</c:v>
                      </c:pt>
                      <c:pt idx="4">
                        <c:v>0.15</c:v>
                      </c:pt>
                      <c:pt idx="5">
                        <c:v>0.15</c:v>
                      </c:pt>
                      <c:pt idx="6">
                        <c:v>0.15</c:v>
                      </c:pt>
                      <c:pt idx="7">
                        <c:v>0.15</c:v>
                      </c:pt>
                      <c:pt idx="8">
                        <c:v>0.15</c:v>
                      </c:pt>
                      <c:pt idx="9">
                        <c:v>0.15</c:v>
                      </c:pt>
                      <c:pt idx="10">
                        <c:v>0.15</c:v>
                      </c:pt>
                      <c:pt idx="11">
                        <c:v>0.15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D38-491B-95F7-4CE3845B73EA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Forces'!$A$11:$B$11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Forces'!$C$11:$N$11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8</c:v>
                      </c:pt>
                      <c:pt idx="1">
                        <c:v>8</c:v>
                      </c:pt>
                      <c:pt idx="2">
                        <c:v>0.25</c:v>
                      </c:pt>
                      <c:pt idx="3">
                        <c:v>0.25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D38-491B-95F7-4CE3845B73EA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Forces'!$A$12:$B$12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Forces'!$C$12:$N$12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0.04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0.04</c:v>
                      </c:pt>
                      <c:pt idx="7">
                        <c:v>0.04</c:v>
                      </c:pt>
                      <c:pt idx="8">
                        <c:v>0.04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D38-491B-95F7-4CE3845B73EA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Forces'!$A$13:$B$13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Forces'!$C$13:$N$13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0.09</c:v>
                      </c:pt>
                      <c:pt idx="5">
                        <c:v>0.09</c:v>
                      </c:pt>
                      <c:pt idx="6">
                        <c:v>0.09</c:v>
                      </c:pt>
                      <c:pt idx="7">
                        <c:v>0.09</c:v>
                      </c:pt>
                      <c:pt idx="8">
                        <c:v>0.09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D38-491B-95F7-4CE3845B73EA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'2025 plan Forces'!$A$10:$B$10</c:f>
              <c:strCache>
                <c:ptCount val="2"/>
                <c:pt idx="0">
                  <c:v>ACTUAL</c:v>
                </c:pt>
              </c:strCache>
            </c:strRef>
          </c:tx>
          <c:spPr>
            <a:ln w="57150" cap="rnd">
              <a:solidFill>
                <a:srgbClr val="2D8F78"/>
              </a:solidFill>
              <a:round/>
            </a:ln>
            <a:effectLst/>
          </c:spPr>
          <c:marker>
            <c:symbol val="square"/>
            <c:size val="21"/>
            <c:spPr>
              <a:solidFill>
                <a:srgbClr val="2D8F78"/>
              </a:solidFill>
              <a:ln w="57150">
                <a:solidFill>
                  <a:srgbClr val="2D8F7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Vale Sans" panose="020B0503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Forces'!$C$5:$N$5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 plan Forces'!$C$10:$N$10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0.09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38-491B-95F7-4CE3845B7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Vale Sans" panose="020B0503020204030204" pitchFamily="34" charset="0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1724721687105029"/>
          <c:y val="0.87222708629656331"/>
          <c:w val="0.36683296862239012"/>
          <c:h val="9.42106144667627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ale Sans" panose="020B0503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Vale Sans" panose="020B0503020204030204" pitchFamily="34" charset="0"/>
                <a:ea typeface="+mn-ea"/>
                <a:cs typeface="+mn-cs"/>
              </a:defRPr>
            </a:pPr>
            <a:r>
              <a:rPr lang="en-US" sz="1800" b="1" baseline="0">
                <a:latin typeface="Vale Sans" panose="020B0503020204030204" pitchFamily="34" charset="0"/>
              </a:rPr>
              <a:t>DRYER-CM</a:t>
            </a:r>
          </a:p>
          <a:p>
            <a:pPr>
              <a:defRPr sz="1800">
                <a:latin typeface="Vale Sans" panose="020B0503020204030204" pitchFamily="34" charset="0"/>
              </a:defRPr>
            </a:pPr>
            <a:r>
              <a:rPr lang="en-US" sz="1800" b="0" baseline="0">
                <a:latin typeface="Vale Sans" panose="020B0503020204030204" pitchFamily="34" charset="0"/>
              </a:rPr>
              <a:t>Forces (Monthly)</a:t>
            </a:r>
            <a:endParaRPr lang="en-US" sz="1800" b="0">
              <a:latin typeface="Vale Sans" panose="020B0503020204030204" pitchFamily="34" charset="0"/>
            </a:endParaRPr>
          </a:p>
        </c:rich>
      </c:tx>
      <c:layout>
        <c:manualLayout>
          <c:xMode val="edge"/>
          <c:yMode val="edge"/>
          <c:x val="0.3877270871129232"/>
          <c:y val="1.57355993542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Vale Sans" panose="020B0503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692438723968361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'2025 plan Forces'!$A$7:$B$7</c:f>
              <c:strCache>
                <c:ptCount val="2"/>
                <c:pt idx="0">
                  <c:v>PLAN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1.98728139904610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AEC-478B-87FA-5F4936F1D421}"/>
                </c:ext>
              </c:extLst>
            </c:dLbl>
            <c:dLbl>
              <c:idx val="1"/>
              <c:layout>
                <c:manualLayout>
                  <c:x val="-1.6495117445236209E-3"/>
                  <c:y val="-1.766472354707648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AEC-478B-87FA-5F4936F1D421}"/>
                </c:ext>
              </c:extLst>
            </c:dLbl>
            <c:dLbl>
              <c:idx val="4"/>
              <c:layout>
                <c:manualLayout>
                  <c:x val="-1.6495117445236209E-3"/>
                  <c:y val="-4.857798975446042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AEC-478B-87FA-5F4936F1D421}"/>
                </c:ext>
              </c:extLst>
            </c:dLbl>
            <c:dLbl>
              <c:idx val="5"/>
              <c:layout>
                <c:manualLayout>
                  <c:x val="0"/>
                  <c:y val="-5.52022610846141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AEC-478B-87FA-5F4936F1D421}"/>
                </c:ext>
              </c:extLst>
            </c:dLbl>
            <c:dLbl>
              <c:idx val="6"/>
              <c:layout>
                <c:manualLayout>
                  <c:x val="6.0481398612921581E-17"/>
                  <c:y val="-5.299417064122954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AEC-478B-87FA-5F4936F1D421}"/>
                </c:ext>
              </c:extLst>
            </c:dLbl>
            <c:dLbl>
              <c:idx val="7"/>
              <c:layout>
                <c:manualLayout>
                  <c:x val="1.6495117445236209E-3"/>
                  <c:y val="-5.078608019784506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AEC-478B-87FA-5F4936F1D421}"/>
                </c:ext>
              </c:extLst>
            </c:dLbl>
            <c:dLbl>
              <c:idx val="8"/>
              <c:layout>
                <c:manualLayout>
                  <c:x val="-3.2990234890472418E-3"/>
                  <c:y val="-5.299417064122954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AEC-478B-87FA-5F4936F1D4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Vale Sans" panose="020B0503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Forces'!$C$5:$N$5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 plan Forces'!$C$7:$N$7</c:f>
              <c:numCache>
                <c:formatCode>0</c:formatCode>
                <c:ptCount val="12"/>
                <c:pt idx="0">
                  <c:v>8</c:v>
                </c:pt>
                <c:pt idx="1">
                  <c:v>8</c:v>
                </c:pt>
                <c:pt idx="2">
                  <c:v>0.49</c:v>
                </c:pt>
                <c:pt idx="3">
                  <c:v>0.49</c:v>
                </c:pt>
                <c:pt idx="4">
                  <c:v>0.49</c:v>
                </c:pt>
                <c:pt idx="5">
                  <c:v>0.49</c:v>
                </c:pt>
                <c:pt idx="6">
                  <c:v>0.49</c:v>
                </c:pt>
                <c:pt idx="7">
                  <c:v>0.49</c:v>
                </c:pt>
                <c:pt idx="8">
                  <c:v>0.49</c:v>
                </c:pt>
                <c:pt idx="9">
                  <c:v>0.49</c:v>
                </c:pt>
                <c:pt idx="10">
                  <c:v>0.49</c:v>
                </c:pt>
                <c:pt idx="11">
                  <c:v>0.49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EC-478B-87FA-5F4936F1D42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5"/>
        <c:axId val="950571840"/>
        <c:axId val="95056716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'2025 plan Forces'!$A$7:$B$7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ormulaRef>
                          <c15:sqref>'2025 plan Forces'!$C$5:$N$5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Forces'!$C$7:$N$7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8</c:v>
                      </c:pt>
                      <c:pt idx="1">
                        <c:v>8</c:v>
                      </c:pt>
                      <c:pt idx="2">
                        <c:v>0.49</c:v>
                      </c:pt>
                      <c:pt idx="3">
                        <c:v>0.49</c:v>
                      </c:pt>
                      <c:pt idx="4">
                        <c:v>0.49</c:v>
                      </c:pt>
                      <c:pt idx="5">
                        <c:v>0.49</c:v>
                      </c:pt>
                      <c:pt idx="6">
                        <c:v>0.49</c:v>
                      </c:pt>
                      <c:pt idx="7">
                        <c:v>0.49</c:v>
                      </c:pt>
                      <c:pt idx="8">
                        <c:v>0.49</c:v>
                      </c:pt>
                      <c:pt idx="9">
                        <c:v>0.49</c:v>
                      </c:pt>
                      <c:pt idx="10">
                        <c:v>0.49</c:v>
                      </c:pt>
                      <c:pt idx="11">
                        <c:v>0.49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8AEC-478B-87FA-5F4936F1D421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Forces'!$A$8:$B$8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Forces'!$C$8:$N$8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7.0000000000000007E-2</c:v>
                      </c:pt>
                      <c:pt idx="1">
                        <c:v>7.0000000000000007E-2</c:v>
                      </c:pt>
                      <c:pt idx="2">
                        <c:v>7.0000000000000007E-2</c:v>
                      </c:pt>
                      <c:pt idx="3">
                        <c:v>7.0000000000000007E-2</c:v>
                      </c:pt>
                      <c:pt idx="4">
                        <c:v>7.0000000000000007E-2</c:v>
                      </c:pt>
                      <c:pt idx="5">
                        <c:v>7.0000000000000007E-2</c:v>
                      </c:pt>
                      <c:pt idx="6">
                        <c:v>7.0000000000000007E-2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7.0000000000000007E-2</c:v>
                      </c:pt>
                      <c:pt idx="10">
                        <c:v>7.0000000000000007E-2</c:v>
                      </c:pt>
                      <c:pt idx="11">
                        <c:v>7.0000000000000007E-2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AEC-478B-87FA-5F4936F1D421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Forces'!$A$9:$B$9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Forces'!$C$9:$N$9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</c:v>
                      </c:pt>
                      <c:pt idx="1">
                        <c:v>0.15</c:v>
                      </c:pt>
                      <c:pt idx="2">
                        <c:v>0.15</c:v>
                      </c:pt>
                      <c:pt idx="3">
                        <c:v>0.15</c:v>
                      </c:pt>
                      <c:pt idx="4">
                        <c:v>0.15</c:v>
                      </c:pt>
                      <c:pt idx="5">
                        <c:v>0.15</c:v>
                      </c:pt>
                      <c:pt idx="6">
                        <c:v>0.15</c:v>
                      </c:pt>
                      <c:pt idx="7">
                        <c:v>0.15</c:v>
                      </c:pt>
                      <c:pt idx="8">
                        <c:v>0.15</c:v>
                      </c:pt>
                      <c:pt idx="9">
                        <c:v>0.15</c:v>
                      </c:pt>
                      <c:pt idx="10">
                        <c:v>0.15</c:v>
                      </c:pt>
                      <c:pt idx="11">
                        <c:v>0.15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AEC-478B-87FA-5F4936F1D421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Forces'!$A$11:$B$11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Forces'!$C$11:$N$11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8</c:v>
                      </c:pt>
                      <c:pt idx="1">
                        <c:v>8</c:v>
                      </c:pt>
                      <c:pt idx="2">
                        <c:v>0.25</c:v>
                      </c:pt>
                      <c:pt idx="3">
                        <c:v>0.25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AEC-478B-87FA-5F4936F1D421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Forces'!$A$12:$B$12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Forces'!$C$12:$N$12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0.04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0.04</c:v>
                      </c:pt>
                      <c:pt idx="7">
                        <c:v>0.04</c:v>
                      </c:pt>
                      <c:pt idx="8">
                        <c:v>0.04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AEC-478B-87FA-5F4936F1D421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Forces'!$A$13:$B$13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Forces'!$C$13:$N$13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0.09</c:v>
                      </c:pt>
                      <c:pt idx="5">
                        <c:v>0.09</c:v>
                      </c:pt>
                      <c:pt idx="6">
                        <c:v>0.09</c:v>
                      </c:pt>
                      <c:pt idx="7">
                        <c:v>0.09</c:v>
                      </c:pt>
                      <c:pt idx="8">
                        <c:v>0.09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AEC-478B-87FA-5F4936F1D421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'2025 plan Forces'!$A$11:$B$11</c:f>
              <c:strCache>
                <c:ptCount val="2"/>
                <c:pt idx="0">
                  <c:v>ACTUAL</c:v>
                </c:pt>
              </c:strCache>
            </c:strRef>
          </c:tx>
          <c:spPr>
            <a:ln w="38100" cap="rnd">
              <a:solidFill>
                <a:srgbClr val="2D8F78"/>
              </a:solidFill>
              <a:round/>
            </a:ln>
            <a:effectLst/>
          </c:spPr>
          <c:marker>
            <c:symbol val="x"/>
            <c:size val="21"/>
            <c:spPr>
              <a:solidFill>
                <a:srgbClr val="2D8F78"/>
              </a:solidFill>
              <a:ln w="38100">
                <a:solidFill>
                  <a:srgbClr val="2D8F7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Vale Sans" panose="020B0503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Forces'!$C$5:$N$5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 plan Forces'!$C$11:$N$11</c:f>
              <c:numCache>
                <c:formatCode>0</c:formatCode>
                <c:ptCount val="12"/>
                <c:pt idx="0">
                  <c:v>8</c:v>
                </c:pt>
                <c:pt idx="1">
                  <c:v>8</c:v>
                </c:pt>
                <c:pt idx="2">
                  <c:v>0.25</c:v>
                </c:pt>
                <c:pt idx="3">
                  <c:v>0.25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EC-478B-87FA-5F4936F1D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Vale Sans" panose="020B0503020204030204" pitchFamily="34" charset="0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  <c:max val="10"/>
          <c:min val="0"/>
        </c:scaling>
        <c:delete val="1"/>
        <c:axPos val="l"/>
        <c:numFmt formatCode="0" sourceLinked="1"/>
        <c:majorTickMark val="out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1724721687105029"/>
          <c:y val="0.87222708629656331"/>
          <c:w val="0.36683296862239012"/>
          <c:h val="9.42106144667627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ale Sans" panose="020B0503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Vale Sans" panose="020B0503020204030204" pitchFamily="34" charset="0"/>
                <a:ea typeface="+mn-ea"/>
                <a:cs typeface="+mn-cs"/>
              </a:defRPr>
            </a:pPr>
            <a:r>
              <a:rPr lang="en-US" sz="1800" b="1" baseline="0">
                <a:latin typeface="Vale Sans" panose="020B0503020204030204" pitchFamily="34" charset="0"/>
              </a:rPr>
              <a:t>FURNACE</a:t>
            </a:r>
          </a:p>
          <a:p>
            <a:pPr>
              <a:defRPr sz="1800">
                <a:latin typeface="Vale Sans" panose="020B0503020204030204" pitchFamily="34" charset="0"/>
              </a:defRPr>
            </a:pPr>
            <a:r>
              <a:rPr lang="en-US" sz="1800" b="0" baseline="0">
                <a:latin typeface="Vale Sans" panose="020B0503020204030204" pitchFamily="34" charset="0"/>
              </a:rPr>
              <a:t>Forces (Monthly)</a:t>
            </a:r>
            <a:endParaRPr lang="en-US" sz="1800" b="0">
              <a:latin typeface="Vale Sans" panose="020B0503020204030204" pitchFamily="34" charset="0"/>
            </a:endParaRPr>
          </a:p>
        </c:rich>
      </c:tx>
      <c:layout>
        <c:manualLayout>
          <c:xMode val="edge"/>
          <c:yMode val="edge"/>
          <c:x val="0.3877270871129232"/>
          <c:y val="1.57355993542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Vale Sans" panose="020B0503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692438723968361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'2025 plan Forces'!$A$8:$B$8</c:f>
              <c:strCache>
                <c:ptCount val="2"/>
                <c:pt idx="0">
                  <c:v>PLAN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ale Sans" panose="020B0503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Forces'!$C$5:$N$5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 plan Forces'!$C$8:$N$8</c:f>
              <c:numCache>
                <c:formatCode>0</c:formatCode>
                <c:ptCount val="12"/>
                <c:pt idx="0">
                  <c:v>7.0000000000000007E-2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7C-4ACC-A8FF-ADC801AB2BD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5"/>
        <c:axId val="950571840"/>
        <c:axId val="95056716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'2025 plan Forces'!$A$7:$B$7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ormulaRef>
                          <c15:sqref>'2025 plan Forces'!$C$5:$N$5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Forces'!$C$7:$N$7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8</c:v>
                      </c:pt>
                      <c:pt idx="1">
                        <c:v>8</c:v>
                      </c:pt>
                      <c:pt idx="2">
                        <c:v>0.49</c:v>
                      </c:pt>
                      <c:pt idx="3">
                        <c:v>0.49</c:v>
                      </c:pt>
                      <c:pt idx="4">
                        <c:v>0.49</c:v>
                      </c:pt>
                      <c:pt idx="5">
                        <c:v>0.49</c:v>
                      </c:pt>
                      <c:pt idx="6">
                        <c:v>0.49</c:v>
                      </c:pt>
                      <c:pt idx="7">
                        <c:v>0.49</c:v>
                      </c:pt>
                      <c:pt idx="8">
                        <c:v>0.49</c:v>
                      </c:pt>
                      <c:pt idx="9">
                        <c:v>0.49</c:v>
                      </c:pt>
                      <c:pt idx="10">
                        <c:v>0.49</c:v>
                      </c:pt>
                      <c:pt idx="11">
                        <c:v>0.49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F77C-4ACC-A8FF-ADC801AB2BD1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Forces'!$A$8:$B$8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Forces'!$C$8:$N$8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7.0000000000000007E-2</c:v>
                      </c:pt>
                      <c:pt idx="1">
                        <c:v>7.0000000000000007E-2</c:v>
                      </c:pt>
                      <c:pt idx="2">
                        <c:v>7.0000000000000007E-2</c:v>
                      </c:pt>
                      <c:pt idx="3">
                        <c:v>7.0000000000000007E-2</c:v>
                      </c:pt>
                      <c:pt idx="4">
                        <c:v>7.0000000000000007E-2</c:v>
                      </c:pt>
                      <c:pt idx="5">
                        <c:v>7.0000000000000007E-2</c:v>
                      </c:pt>
                      <c:pt idx="6">
                        <c:v>7.0000000000000007E-2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7.0000000000000007E-2</c:v>
                      </c:pt>
                      <c:pt idx="10">
                        <c:v>7.0000000000000007E-2</c:v>
                      </c:pt>
                      <c:pt idx="11">
                        <c:v>7.0000000000000007E-2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77C-4ACC-A8FF-ADC801AB2BD1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Forces'!$A$9:$B$9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Forces'!$C$9:$N$9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</c:v>
                      </c:pt>
                      <c:pt idx="1">
                        <c:v>0.15</c:v>
                      </c:pt>
                      <c:pt idx="2">
                        <c:v>0.15</c:v>
                      </c:pt>
                      <c:pt idx="3">
                        <c:v>0.15</c:v>
                      </c:pt>
                      <c:pt idx="4">
                        <c:v>0.15</c:v>
                      </c:pt>
                      <c:pt idx="5">
                        <c:v>0.15</c:v>
                      </c:pt>
                      <c:pt idx="6">
                        <c:v>0.15</c:v>
                      </c:pt>
                      <c:pt idx="7">
                        <c:v>0.15</c:v>
                      </c:pt>
                      <c:pt idx="8">
                        <c:v>0.15</c:v>
                      </c:pt>
                      <c:pt idx="9">
                        <c:v>0.15</c:v>
                      </c:pt>
                      <c:pt idx="10">
                        <c:v>0.15</c:v>
                      </c:pt>
                      <c:pt idx="11">
                        <c:v>0.15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77C-4ACC-A8FF-ADC801AB2BD1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Forces'!$A$11:$B$11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Forces'!$C$11:$N$11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8</c:v>
                      </c:pt>
                      <c:pt idx="1">
                        <c:v>8</c:v>
                      </c:pt>
                      <c:pt idx="2">
                        <c:v>0.25</c:v>
                      </c:pt>
                      <c:pt idx="3">
                        <c:v>0.25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77C-4ACC-A8FF-ADC801AB2BD1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Forces'!$A$12:$B$12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Forces'!$C$12:$N$12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0.04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0.04</c:v>
                      </c:pt>
                      <c:pt idx="7">
                        <c:v>0.04</c:v>
                      </c:pt>
                      <c:pt idx="8">
                        <c:v>0.04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77C-4ACC-A8FF-ADC801AB2BD1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Forces'!$A$13:$B$13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Forces'!$C$13:$N$13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0.09</c:v>
                      </c:pt>
                      <c:pt idx="5">
                        <c:v>0.09</c:v>
                      </c:pt>
                      <c:pt idx="6">
                        <c:v>0.09</c:v>
                      </c:pt>
                      <c:pt idx="7">
                        <c:v>0.09</c:v>
                      </c:pt>
                      <c:pt idx="8">
                        <c:v>0.09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77C-4ACC-A8FF-ADC801AB2BD1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'2025 plan Forces'!$A$12:$B$12</c:f>
              <c:strCache>
                <c:ptCount val="2"/>
                <c:pt idx="0">
                  <c:v>ACTUAL</c:v>
                </c:pt>
              </c:strCache>
            </c:strRef>
          </c:tx>
          <c:spPr>
            <a:ln w="38100" cap="rnd">
              <a:solidFill>
                <a:srgbClr val="2D8F78"/>
              </a:solidFill>
              <a:round/>
            </a:ln>
            <a:effectLst/>
          </c:spPr>
          <c:marker>
            <c:symbol val="square"/>
            <c:size val="21"/>
            <c:spPr>
              <a:solidFill>
                <a:srgbClr val="2D8F78"/>
              </a:solidFill>
              <a:ln w="38100">
                <a:solidFill>
                  <a:srgbClr val="2D8F7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Vale Sans" panose="020B0503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Forces'!$C$5:$N$5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 plan Forces'!$C$12:$N$12</c:f>
              <c:numCache>
                <c:formatCode>0</c:formatCode>
                <c:ptCount val="12"/>
                <c:pt idx="0">
                  <c:v>0.04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0.04</c:v>
                </c:pt>
                <c:pt idx="7">
                  <c:v>0.04</c:v>
                </c:pt>
                <c:pt idx="8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7C-4ACC-A8FF-ADC801AB2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Vale Sans" panose="020B0503020204030204" pitchFamily="34" charset="0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1724721687105029"/>
          <c:y val="0.87222708629656331"/>
          <c:w val="0.36683296862239012"/>
          <c:h val="9.42106144667627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ale Sans" panose="020B0503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Vale Sans" panose="020B0503020204030204" pitchFamily="34" charset="0"/>
                <a:ea typeface="+mn-ea"/>
                <a:cs typeface="+mn-cs"/>
              </a:defRPr>
            </a:pPr>
            <a:r>
              <a:rPr lang="en-US" sz="1800" b="1" baseline="0">
                <a:latin typeface="Vale Sans" panose="020B0503020204030204" pitchFamily="34" charset="0"/>
              </a:rPr>
              <a:t>CONVERTER</a:t>
            </a:r>
          </a:p>
          <a:p>
            <a:pPr>
              <a:defRPr sz="1800">
                <a:latin typeface="Vale Sans" panose="020B0503020204030204" pitchFamily="34" charset="0"/>
              </a:defRPr>
            </a:pPr>
            <a:r>
              <a:rPr lang="en-US" sz="1800" b="0" baseline="0">
                <a:latin typeface="Vale Sans" panose="020B0503020204030204" pitchFamily="34" charset="0"/>
              </a:rPr>
              <a:t>Forces (Monthly)</a:t>
            </a:r>
            <a:endParaRPr lang="en-US" sz="1800" b="0">
              <a:latin typeface="Vale Sans" panose="020B0503020204030204" pitchFamily="34" charset="0"/>
            </a:endParaRPr>
          </a:p>
        </c:rich>
      </c:tx>
      <c:layout>
        <c:manualLayout>
          <c:xMode val="edge"/>
          <c:yMode val="edge"/>
          <c:x val="0.3877270871129232"/>
          <c:y val="1.57355993542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Vale Sans" panose="020B0503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692438723968361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'2025 plan Forces'!$A$9:$B$9</c:f>
              <c:strCache>
                <c:ptCount val="2"/>
                <c:pt idx="0">
                  <c:v>PLAN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8.362791045294594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BFA-455F-9ACE-42F39C9CBE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ale Sans" panose="020B0503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Forces'!$C$5:$N$5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 plan Forces'!$C$9:$N$9</c:f>
              <c:numCache>
                <c:formatCode>0</c:formatCode>
                <c:ptCount val="12"/>
                <c:pt idx="0">
                  <c:v>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0.15</c:v>
                </c:pt>
                <c:pt idx="7">
                  <c:v>0.15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FA-455F-9ACE-42F39C9CBE1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5"/>
        <c:axId val="950571840"/>
        <c:axId val="95056716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'2025 plan Forces'!$A$7:$B$7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ormulaRef>
                          <c15:sqref>'2025 plan Forces'!$C$5:$N$5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 plan Forces'!$C$7:$N$7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8</c:v>
                      </c:pt>
                      <c:pt idx="1">
                        <c:v>8</c:v>
                      </c:pt>
                      <c:pt idx="2">
                        <c:v>0.49</c:v>
                      </c:pt>
                      <c:pt idx="3">
                        <c:v>0.49</c:v>
                      </c:pt>
                      <c:pt idx="4">
                        <c:v>0.49</c:v>
                      </c:pt>
                      <c:pt idx="5">
                        <c:v>0.49</c:v>
                      </c:pt>
                      <c:pt idx="6">
                        <c:v>0.49</c:v>
                      </c:pt>
                      <c:pt idx="7">
                        <c:v>0.49</c:v>
                      </c:pt>
                      <c:pt idx="8">
                        <c:v>0.49</c:v>
                      </c:pt>
                      <c:pt idx="9">
                        <c:v>0.49</c:v>
                      </c:pt>
                      <c:pt idx="10">
                        <c:v>0.49</c:v>
                      </c:pt>
                      <c:pt idx="11">
                        <c:v>0.49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ABFA-455F-9ACE-42F39C9CBE1B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Forces'!$A$8:$B$8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bg1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Vale Sans" panose="020B050302020403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Forces'!$C$8:$N$8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7.0000000000000007E-2</c:v>
                      </c:pt>
                      <c:pt idx="1">
                        <c:v>7.0000000000000007E-2</c:v>
                      </c:pt>
                      <c:pt idx="2">
                        <c:v>7.0000000000000007E-2</c:v>
                      </c:pt>
                      <c:pt idx="3">
                        <c:v>7.0000000000000007E-2</c:v>
                      </c:pt>
                      <c:pt idx="4">
                        <c:v>7.0000000000000007E-2</c:v>
                      </c:pt>
                      <c:pt idx="5">
                        <c:v>7.0000000000000007E-2</c:v>
                      </c:pt>
                      <c:pt idx="6">
                        <c:v>7.0000000000000007E-2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7.0000000000000007E-2</c:v>
                      </c:pt>
                      <c:pt idx="10">
                        <c:v>7.0000000000000007E-2</c:v>
                      </c:pt>
                      <c:pt idx="11">
                        <c:v>7.0000000000000007E-2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BFA-455F-9ACE-42F39C9CBE1B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Forces'!$A$9:$B$9</c15:sqref>
                        </c15:formulaRef>
                      </c:ext>
                    </c:extLst>
                    <c:strCache>
                      <c:ptCount val="2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Forces'!$C$9:$N$9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</c:v>
                      </c:pt>
                      <c:pt idx="1">
                        <c:v>0.15</c:v>
                      </c:pt>
                      <c:pt idx="2">
                        <c:v>0.15</c:v>
                      </c:pt>
                      <c:pt idx="3">
                        <c:v>0.15</c:v>
                      </c:pt>
                      <c:pt idx="4">
                        <c:v>0.15</c:v>
                      </c:pt>
                      <c:pt idx="5">
                        <c:v>0.15</c:v>
                      </c:pt>
                      <c:pt idx="6">
                        <c:v>0.15</c:v>
                      </c:pt>
                      <c:pt idx="7">
                        <c:v>0.15</c:v>
                      </c:pt>
                      <c:pt idx="8">
                        <c:v>0.15</c:v>
                      </c:pt>
                      <c:pt idx="9">
                        <c:v>0.15</c:v>
                      </c:pt>
                      <c:pt idx="10">
                        <c:v>0.15</c:v>
                      </c:pt>
                      <c:pt idx="11">
                        <c:v>0.15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BFA-455F-9ACE-42F39C9CBE1B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Forces'!$A$11:$B$11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Forces'!$C$11:$N$11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8</c:v>
                      </c:pt>
                      <c:pt idx="1">
                        <c:v>8</c:v>
                      </c:pt>
                      <c:pt idx="2">
                        <c:v>0.25</c:v>
                      </c:pt>
                      <c:pt idx="3">
                        <c:v>0.25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BFA-455F-9ACE-42F39C9CBE1B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Forces'!$A$12:$B$12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 w="38100">
                    <a:solidFill>
                      <a:srgbClr val="2D8F78"/>
                    </a:solidFill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2000" b="1" i="0" u="none" strike="noStrike" kern="1200" baseline="0">
                          <a:solidFill>
                            <a:schemeClr val="bg1"/>
                          </a:solidFill>
                          <a:latin typeface="Vale Sans" panose="020B050302020403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Forces'!$C$12:$N$12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0.04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0.04</c:v>
                      </c:pt>
                      <c:pt idx="7">
                        <c:v>0.04</c:v>
                      </c:pt>
                      <c:pt idx="8">
                        <c:v>0.04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BFA-455F-9ACE-42F39C9CBE1B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Forces'!$A$13:$B$13</c15:sqref>
                        </c15:formulaRef>
                      </c:ext>
                    </c:extLst>
                    <c:strCache>
                      <c:ptCount val="2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Forces'!$C$5:$N$5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'2025 plan Forces'!$C$13:$N$13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0.09</c:v>
                      </c:pt>
                      <c:pt idx="5">
                        <c:v>0.09</c:v>
                      </c:pt>
                      <c:pt idx="6">
                        <c:v>0.09</c:v>
                      </c:pt>
                      <c:pt idx="7">
                        <c:v>0.09</c:v>
                      </c:pt>
                      <c:pt idx="8">
                        <c:v>0.09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BFA-455F-9ACE-42F39C9CBE1B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'2025 plan Forces'!$A$13:$B$13</c:f>
              <c:strCache>
                <c:ptCount val="2"/>
                <c:pt idx="0">
                  <c:v>ACTUAL</c:v>
                </c:pt>
              </c:strCache>
            </c:strRef>
          </c:tx>
          <c:spPr>
            <a:ln w="38100" cap="rnd">
              <a:solidFill>
                <a:srgbClr val="2D8F78"/>
              </a:solidFill>
              <a:round/>
            </a:ln>
            <a:effectLst/>
          </c:spPr>
          <c:marker>
            <c:symbol val="square"/>
            <c:size val="21"/>
            <c:spPr>
              <a:solidFill>
                <a:srgbClr val="2D8F78"/>
              </a:solidFill>
              <a:ln w="38100">
                <a:solidFill>
                  <a:srgbClr val="2D8F7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Vale Sans" panose="020B0503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plan Forces'!$C$5:$N$5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 plan Forces'!$C$13:$N$13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0.09</c:v>
                </c:pt>
                <c:pt idx="5">
                  <c:v>0.09</c:v>
                </c:pt>
                <c:pt idx="6">
                  <c:v>0.09</c:v>
                </c:pt>
                <c:pt idx="7">
                  <c:v>0.09</c:v>
                </c:pt>
                <c:pt idx="8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FA-455F-9ACE-42F39C9CB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Vale Sans" panose="020B0503020204030204" pitchFamily="34" charset="0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  <c:max val="2.5"/>
        </c:scaling>
        <c:delete val="1"/>
        <c:axPos val="l"/>
        <c:numFmt formatCode="0" sourceLinked="1"/>
        <c:majorTickMark val="out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1724721687105029"/>
          <c:y val="0.87222708629656331"/>
          <c:w val="0.36683296862239012"/>
          <c:h val="9.42106144667627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ale Sans" panose="020B0503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100" b="1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AFI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775947135658942E-2"/>
          <c:y val="0.28932253269957514"/>
          <c:w val="0.92448105728682117"/>
          <c:h val="0.593473015397254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'Weekly Jumper'!$A$3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0.1513792099414573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51E-4493-BC95-78AC570999AB}"/>
                </c:ext>
              </c:extLst>
            </c:dLbl>
            <c:dLbl>
              <c:idx val="1"/>
              <c:layout>
                <c:manualLayout>
                  <c:x val="6.7348066474132197E-3"/>
                  <c:y val="-3.687319125228394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51E-4493-BC95-78AC570999AB}"/>
                </c:ext>
              </c:extLst>
            </c:dLbl>
            <c:dLbl>
              <c:idx val="2"/>
              <c:layout>
                <c:manualLayout>
                  <c:x val="6.2931725268321895E-17"/>
                  <c:y val="-3.080227336055986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51E-4493-BC95-78AC570999AB}"/>
                </c:ext>
              </c:extLst>
            </c:dLbl>
            <c:dLbl>
              <c:idx val="3"/>
              <c:layout>
                <c:manualLayout>
                  <c:x val="0"/>
                  <c:y val="-4.490455132795332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51E-4493-BC95-78AC570999AB}"/>
                </c:ext>
              </c:extLst>
            </c:dLbl>
            <c:dLbl>
              <c:idx val="4"/>
              <c:layout>
                <c:manualLayout>
                  <c:x val="-1.2444248427510016E-16"/>
                  <c:y val="-4.883985313956617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51E-4493-BC95-78AC570999AB}"/>
                </c:ext>
              </c:extLst>
            </c:dLbl>
            <c:dLbl>
              <c:idx val="5"/>
              <c:layout>
                <c:manualLayout>
                  <c:x val="-1.256223740549858E-16"/>
                  <c:y val="-2.341204689608389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617-4230-859E-861EEBA0C3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'Weekly Jumper'!$B$2:$N$2</c:f>
              <c:strCache>
                <c:ptCount val="6"/>
                <c:pt idx="0">
                  <c:v>wk1('25)</c:v>
                </c:pt>
                <c:pt idx="1">
                  <c:v>wk1('26)</c:v>
                </c:pt>
                <c:pt idx="2">
                  <c:v>wk39</c:v>
                </c:pt>
                <c:pt idx="3">
                  <c:v>wk40</c:v>
                </c:pt>
                <c:pt idx="4">
                  <c:v>wk41</c:v>
                </c:pt>
                <c:pt idx="5">
                  <c:v>wk42</c:v>
                </c:pt>
              </c:strCache>
            </c:strRef>
          </c:cat>
          <c:val>
            <c:numRef>
              <c:f>'Weekly Jumper'!$B$3:$G$3</c:f>
              <c:numCache>
                <c:formatCode>0</c:formatCode>
                <c:ptCount val="6"/>
                <c:pt idx="0">
                  <c:v>496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51E-4493-BC95-78AC570999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81250527"/>
        <c:axId val="581251007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'Weekly Jumper'!$A$4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'Weekly Jumper'!$B$2:$N$2</c15:sqref>
                        </c15:formulaRef>
                      </c:ext>
                    </c:extLst>
                    <c:strCache>
                      <c:ptCount val="6"/>
                      <c:pt idx="0">
                        <c:v>wk1('25)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'Weekly Jumper'!$B$4:$N$4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200</c:v>
                      </c:pt>
                      <c:pt idx="5">
                        <c:v>0.15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D51E-4493-BC95-78AC570999AB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Jumper'!$A$5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Jumper'!$B$2:$N$2</c15:sqref>
                        </c15:formulaRef>
                      </c:ext>
                    </c:extLst>
                    <c:strCache>
                      <c:ptCount val="6"/>
                      <c:pt idx="0">
                        <c:v>wk1('25)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Jumper'!$B$5:$N$5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5">
                        <c:v>0.15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51E-4493-BC95-78AC570999AB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Jumper'!$A$6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Jumper'!$B$2:$N$2</c15:sqref>
                        </c15:formulaRef>
                      </c:ext>
                    </c:extLst>
                    <c:strCache>
                      <c:ptCount val="6"/>
                      <c:pt idx="0">
                        <c:v>wk1('25)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Jumper'!$B$6:$N$6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5</c:v>
                      </c:pt>
                      <c:pt idx="1">
                        <c:v>2</c:v>
                      </c:pt>
                      <c:pt idx="5">
                        <c:v>0.15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51E-4493-BC95-78AC570999AB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Jumper'!$A$9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Jumper'!$B$2:$N$2</c15:sqref>
                        </c15:formulaRef>
                      </c:ext>
                    </c:extLst>
                    <c:strCache>
                      <c:ptCount val="6"/>
                      <c:pt idx="0">
                        <c:v>wk1('25)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Jumper'!$B$9:$N$9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0.01</c:v>
                      </c:pt>
                      <c:pt idx="1">
                        <c:v>0.01</c:v>
                      </c:pt>
                      <c:pt idx="2">
                        <c:v>0.01</c:v>
                      </c:pt>
                      <c:pt idx="3">
                        <c:v>0.01</c:v>
                      </c:pt>
                      <c:pt idx="4">
                        <c:v>0.01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51E-4493-BC95-78AC570999AB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Jumper'!$A$10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Jumper'!$B$2:$N$2</c15:sqref>
                        </c15:formulaRef>
                      </c:ext>
                    </c:extLst>
                    <c:strCache>
                      <c:ptCount val="6"/>
                      <c:pt idx="0">
                        <c:v>wk1('25)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Jumper'!$B$10:$N$10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5</c:v>
                      </c:pt>
                      <c:pt idx="1">
                        <c:v>2</c:v>
                      </c:pt>
                      <c:pt idx="2">
                        <c:v>0.01</c:v>
                      </c:pt>
                      <c:pt idx="3">
                        <c:v>0.01</c:v>
                      </c:pt>
                      <c:pt idx="4">
                        <c:v>0.01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51E-4493-BC95-78AC570999AB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4"/>
          <c:order val="4"/>
          <c:tx>
            <c:strRef>
              <c:f>'Weekly Jumper'!$A$7</c:f>
              <c:strCache>
                <c:ptCount val="1"/>
                <c:pt idx="0">
                  <c:v>ACTUAL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square"/>
            <c:size val="18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accent5"/>
                </a:solidFill>
                <a:round/>
              </a:ln>
              <a:effectLst/>
            </c:spPr>
          </c:marker>
          <c:dLbls>
            <c:dLbl>
              <c:idx val="4"/>
              <c:layout>
                <c:manualLayout>
                  <c:x val="-7.000009545395261E-2"/>
                  <c:y val="1.0597845736697751E-1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FAA-47C6-953E-D2C797E02C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'Weekly Jumper'!$B$2:$N$2</c:f>
              <c:strCache>
                <c:ptCount val="6"/>
                <c:pt idx="0">
                  <c:v>wk1('25)</c:v>
                </c:pt>
                <c:pt idx="1">
                  <c:v>wk1('26)</c:v>
                </c:pt>
                <c:pt idx="2">
                  <c:v>wk39</c:v>
                </c:pt>
                <c:pt idx="3">
                  <c:v>wk40</c:v>
                </c:pt>
                <c:pt idx="4">
                  <c:v>wk41</c:v>
                </c:pt>
                <c:pt idx="5">
                  <c:v>wk42</c:v>
                </c:pt>
              </c:strCache>
            </c:strRef>
          </c:cat>
          <c:val>
            <c:numRef>
              <c:f>'Weekly Jumper'!$B$7:$F$7</c:f>
              <c:numCache>
                <c:formatCode>0</c:formatCode>
                <c:ptCount val="5"/>
                <c:pt idx="0">
                  <c:v>496</c:v>
                </c:pt>
                <c:pt idx="1">
                  <c:v>9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51E-4493-BC95-78AC57099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1250527"/>
        <c:axId val="581251007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'Weekly Jumper'!$A$8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ln w="317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'Weekly Jumper'!$B$2:$N$2</c15:sqref>
                        </c15:formulaRef>
                      </c:ext>
                    </c:extLst>
                    <c:strCache>
                      <c:ptCount val="6"/>
                      <c:pt idx="0">
                        <c:v>wk1('25)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'Weekly Jumper'!$B$8:$N$8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200</c:v>
                      </c:pt>
                      <c:pt idx="1">
                        <c:v>0.01</c:v>
                      </c:pt>
                      <c:pt idx="2">
                        <c:v>0.01</c:v>
                      </c:pt>
                      <c:pt idx="3">
                        <c:v>0.01</c:v>
                      </c:pt>
                      <c:pt idx="4">
                        <c:v>0.01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A-D51E-4493-BC95-78AC570999AB}"/>
                  </c:ext>
                </c:extLst>
              </c15:ser>
            </c15:filteredLineSeries>
          </c:ext>
        </c:extLst>
      </c:lineChart>
      <c:catAx>
        <c:axId val="58125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581251007"/>
        <c:crosses val="autoZero"/>
        <c:auto val="1"/>
        <c:lblAlgn val="ctr"/>
        <c:lblOffset val="100"/>
        <c:noMultiLvlLbl val="0"/>
      </c:catAx>
      <c:valAx>
        <c:axId val="581251007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extTo"/>
        <c:crossAx val="58125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100" b="1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AFI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775947135658942E-2"/>
          <c:y val="0.28932253269957514"/>
          <c:w val="0.92448105728682117"/>
          <c:h val="0.59347301539725406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'Weekly Jumper'!$A$4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0.1465904304378454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F6F-407D-B81E-FCD944FFE842}"/>
                </c:ext>
              </c:extLst>
            </c:dLbl>
            <c:dLbl>
              <c:idx val="1"/>
              <c:layout>
                <c:manualLayout>
                  <c:x val="0"/>
                  <c:y val="-2.18734126841059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F6F-407D-B81E-FCD944FFE842}"/>
                </c:ext>
              </c:extLst>
            </c:dLbl>
            <c:dLbl>
              <c:idx val="2"/>
              <c:layout>
                <c:manualLayout>
                  <c:x val="6.2931725268321895E-17"/>
                  <c:y val="-3.296798104978097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F6F-407D-B81E-FCD944FFE842}"/>
                </c:ext>
              </c:extLst>
            </c:dLbl>
            <c:dLbl>
              <c:idx val="3"/>
              <c:layout>
                <c:manualLayout>
                  <c:x val="0"/>
                  <c:y val="-3.296798104978097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F6F-407D-B81E-FCD944FFE842}"/>
                </c:ext>
              </c:extLst>
            </c:dLbl>
            <c:dLbl>
              <c:idx val="4"/>
              <c:layout>
                <c:manualLayout>
                  <c:x val="0"/>
                  <c:y val="-3.498906306547248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F6F-407D-B81E-FCD944FFE842}"/>
                </c:ext>
              </c:extLst>
            </c:dLbl>
            <c:dLbl>
              <c:idx val="5"/>
              <c:layout>
                <c:manualLayout>
                  <c:x val="0"/>
                  <c:y val="-2.853510185871465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620-42D4-AE35-FD17F30F7A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'Weekly Jumper'!$B$2:$N$2</c15:sqref>
                  </c15:fullRef>
                </c:ext>
              </c:extLst>
              <c:f>'Weekly Jumper'!$B$2:$H$2</c:f>
              <c:strCache>
                <c:ptCount val="6"/>
                <c:pt idx="0">
                  <c:v>wk1('25)</c:v>
                </c:pt>
                <c:pt idx="1">
                  <c:v>wk1('26)</c:v>
                </c:pt>
                <c:pt idx="2">
                  <c:v>wk39</c:v>
                </c:pt>
                <c:pt idx="3">
                  <c:v>wk40</c:v>
                </c:pt>
                <c:pt idx="4">
                  <c:v>wk41</c:v>
                </c:pt>
                <c:pt idx="5">
                  <c:v>wk42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'Weekly Jumper'!$B$4:$G$4</c15:sqref>
                  </c15:fullRef>
                </c:ext>
              </c:extLst>
              <c:f>'Weekly Jumper'!$B$4:$G$4</c:f>
              <c:numCache>
                <c:formatCode>0</c:formatCode>
                <c:ptCount val="6"/>
                <c:pt idx="0">
                  <c:v>200</c:v>
                </c:pt>
                <c:pt idx="5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6F-407D-B81E-FCD944FFE8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81250527"/>
        <c:axId val="58125100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'Weekly Jumper'!$A$3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rgbClr val="00B0F0"/>
                  </a:solidFill>
                  <a:ln>
                    <a:noFill/>
                  </a:ln>
                  <a:effectLst/>
                </c:spPr>
                <c:invertIfNegative val="0"/>
                <c:dLbls>
                  <c:dLbl>
                    <c:idx val="3"/>
                    <c:layout>
                      <c:manualLayout>
                        <c:x val="-3.1465862634160948E-17"/>
                        <c:y val="-1.1344020515597516E-2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5F6F-407D-B81E-FCD944FFE842}"/>
                      </c:ext>
                    </c:extLst>
                  </c:dLbl>
                  <c:dLbl>
                    <c:idx val="4"/>
                    <c:layout>
                      <c:manualLayout>
                        <c:x val="-6.2931725268321895E-17"/>
                        <c:y val="2.8078581739896609E-4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5F6F-407D-B81E-FCD944FFE842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2">
                              <a:lumMod val="50000"/>
                            </a:schemeClr>
                          </a:solidFill>
                          <a:latin typeface="Calibri" panose="020F0502020204030204" pitchFamily="34" charset="0"/>
                          <a:ea typeface="Calibri" panose="020F0502020204030204" pitchFamily="34" charset="0"/>
                          <a:cs typeface="Calibri" panose="020F0502020204030204" pitchFamily="34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'Weekly Jumper'!$B$2:$N$2</c15:sqref>
                        </c15:fullRef>
                        <c15:formulaRef>
                          <c15:sqref>'Weekly Jumper'!$B$2:$H$2</c15:sqref>
                        </c15:formulaRef>
                      </c:ext>
                    </c:extLst>
                    <c:strCache>
                      <c:ptCount val="6"/>
                      <c:pt idx="0">
                        <c:v>wk1('25)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'Weekly Jumper'!$B$3:$N$3</c15:sqref>
                        </c15:fullRef>
                        <c15:formulaRef>
                          <c15:sqref>'Weekly Jumper'!$B$3:$H$3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496</c:v>
                      </c:pt>
                      <c:pt idx="5">
                        <c:v>3</c:v>
                      </c:pt>
                    </c:numCache>
                  </c:numRef>
                </c:val>
                <c:extLst>
                  <c:ext uri="{02D57815-91ED-43cb-92C2-25804820EDAC}">
                    <c15:categoryFilterExceptions>
                      <c15:categoryFilterException>
                        <c15:sqref>'Weekly Jumper'!$I$3</c15:sqref>
                        <c15:dLbl>
                          <c:idx val="6"/>
                          <c:layout>
                            <c:manualLayout>
                              <c:x val="0"/>
                              <c:y val="2.9178619561805952E-2"/>
                            </c:manualLayout>
                          </c:layout>
                          <c:dLblPos val="outEnd"/>
                          <c:showLegendKey val="0"/>
                          <c:showVal val="1"/>
                          <c:showCatName val="0"/>
                          <c:showSerName val="0"/>
                          <c:showPercent val="0"/>
                          <c:showBubbleSize val="0"/>
                          <c:extLst>
                            <c:ext uri="{CE6537A1-D6FC-4f65-9D91-7224C49458BB}"/>
                            <c:ext xmlns:c16="http://schemas.microsoft.com/office/drawing/2014/chart" uri="{C3380CC4-5D6E-409C-BE32-E72D297353CC}">
                              <c16:uniqueId val="{00000000-35C3-413D-AFF0-F1CDF596FA84}"/>
                            </c:ext>
                          </c:extLst>
                        </c15:dLbl>
                      </c15:categoryFilterException>
                      <c15:categoryFilterException>
                        <c15:sqref>'Weekly Jumper'!$J$3</c15:sqref>
                        <c15:dLbl>
                          <c:idx val="6"/>
                          <c:layout>
                            <c:manualLayout>
                              <c:x val="0"/>
                              <c:y val="3.5014343474167271E-2"/>
                            </c:manualLayout>
                          </c:layout>
                          <c:dLblPos val="outEnd"/>
                          <c:showLegendKey val="0"/>
                          <c:showVal val="1"/>
                          <c:showCatName val="0"/>
                          <c:showSerName val="0"/>
                          <c:showPercent val="0"/>
                          <c:showBubbleSize val="0"/>
                          <c:extLst>
                            <c:ext uri="{CE6537A1-D6FC-4f65-9D91-7224C49458BB}"/>
                            <c:ext xmlns:c16="http://schemas.microsoft.com/office/drawing/2014/chart" uri="{C3380CC4-5D6E-409C-BE32-E72D297353CC}">
                              <c16:uniqueId val="{00000001-35C3-413D-AFF0-F1CDF596FA84}"/>
                            </c:ext>
                          </c:extLst>
                        </c15:dLbl>
                      </c15:categoryFilterException>
                      <c15:categoryFilterException>
                        <c15:sqref>'Weekly Jumper'!$K$3</c15:sqref>
                        <c15:dLbl>
                          <c:idx val="6"/>
                          <c:layout>
                            <c:manualLayout>
                              <c:x val="0"/>
                              <c:y val="2.3342895649444848E-2"/>
                            </c:manualLayout>
                          </c:layout>
                          <c:dLblPos val="outEnd"/>
                          <c:showLegendKey val="0"/>
                          <c:showVal val="1"/>
                          <c:showCatName val="0"/>
                          <c:showSerName val="0"/>
                          <c:showPercent val="0"/>
                          <c:showBubbleSize val="0"/>
                          <c:extLst>
                            <c:ext uri="{CE6537A1-D6FC-4f65-9D91-7224C49458BB}"/>
                            <c:ext xmlns:c16="http://schemas.microsoft.com/office/drawing/2014/chart" uri="{C3380CC4-5D6E-409C-BE32-E72D297353CC}">
                              <c16:uniqueId val="{00000002-35C3-413D-AFF0-F1CDF596FA84}"/>
                            </c:ext>
                          </c:extLst>
                        </c15:dLbl>
                      </c15:categoryFilterException>
                    </c15:categoryFilterExceptions>
                  </c:ext>
                  <c:ext xmlns:c16="http://schemas.microsoft.com/office/drawing/2014/chart" uri="{C3380CC4-5D6E-409C-BE32-E72D297353CC}">
                    <c16:uniqueId val="{00000007-5F6F-407D-B81E-FCD944FFE842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Jumper'!$A$5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'Weekly Jumper'!$B$2:$N$2</c15:sqref>
                        </c15:fullRef>
                        <c15:formulaRef>
                          <c15:sqref>'Weekly Jumper'!$B$2:$H$2</c15:sqref>
                        </c15:formulaRef>
                      </c:ext>
                    </c:extLst>
                    <c:strCache>
                      <c:ptCount val="6"/>
                      <c:pt idx="0">
                        <c:v>wk1('25)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'Weekly Jumper'!$B$5:$N$5</c15:sqref>
                        </c15:fullRef>
                        <c15:formulaRef>
                          <c15:sqref>'Weekly Jumper'!$B$5:$H$5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5">
                        <c:v>0.15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F6F-407D-B81E-FCD944FFE842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Jumper'!$A$6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'Weekly Jumper'!$B$2:$N$2</c15:sqref>
                        </c15:fullRef>
                        <c15:formulaRef>
                          <c15:sqref>'Weekly Jumper'!$B$2:$H$2</c15:sqref>
                        </c15:formulaRef>
                      </c:ext>
                    </c:extLst>
                    <c:strCache>
                      <c:ptCount val="6"/>
                      <c:pt idx="0">
                        <c:v>wk1('25)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'Weekly Jumper'!$B$6:$N$6</c15:sqref>
                        </c15:fullRef>
                        <c15:formulaRef>
                          <c15:sqref>'Weekly Jumper'!$B$6:$H$6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5</c:v>
                      </c:pt>
                      <c:pt idx="1">
                        <c:v>2</c:v>
                      </c:pt>
                      <c:pt idx="5">
                        <c:v>0.15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5F6F-407D-B81E-FCD944FFE842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Jumper'!$A$9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'Weekly Jumper'!$B$2:$N$2</c15:sqref>
                        </c15:fullRef>
                        <c15:formulaRef>
                          <c15:sqref>'Weekly Jumper'!$B$2:$H$2</c15:sqref>
                        </c15:formulaRef>
                      </c:ext>
                    </c:extLst>
                    <c:strCache>
                      <c:ptCount val="6"/>
                      <c:pt idx="0">
                        <c:v>wk1('25)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'Weekly Jumper'!$B$9:$N$9</c15:sqref>
                        </c15:fullRef>
                        <c15:formulaRef>
                          <c15:sqref>'Weekly Jumper'!$B$9:$H$9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0.01</c:v>
                      </c:pt>
                      <c:pt idx="1">
                        <c:v>0.01</c:v>
                      </c:pt>
                      <c:pt idx="2">
                        <c:v>0.01</c:v>
                      </c:pt>
                      <c:pt idx="3">
                        <c:v>0.01</c:v>
                      </c:pt>
                      <c:pt idx="4">
                        <c:v>0.01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5F6F-407D-B81E-FCD944FFE842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Jumper'!$A$10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'Weekly Jumper'!$B$2:$N$2</c15:sqref>
                        </c15:fullRef>
                        <c15:formulaRef>
                          <c15:sqref>'Weekly Jumper'!$B$2:$H$2</c15:sqref>
                        </c15:formulaRef>
                      </c:ext>
                    </c:extLst>
                    <c:strCache>
                      <c:ptCount val="6"/>
                      <c:pt idx="0">
                        <c:v>wk1('25)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'Weekly Jumper'!$B$10:$N$10</c15:sqref>
                        </c15:fullRef>
                        <c15:formulaRef>
                          <c15:sqref>'Weekly Jumper'!$B$10:$H$10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5</c:v>
                      </c:pt>
                      <c:pt idx="1">
                        <c:v>2</c:v>
                      </c:pt>
                      <c:pt idx="2">
                        <c:v>0.01</c:v>
                      </c:pt>
                      <c:pt idx="3">
                        <c:v>0.01</c:v>
                      </c:pt>
                      <c:pt idx="4">
                        <c:v>0.01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5F6F-407D-B81E-FCD944FFE842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5"/>
          <c:order val="5"/>
          <c:tx>
            <c:strRef>
              <c:f>'Weekly Jumper'!$A$8</c:f>
              <c:strCache>
                <c:ptCount val="1"/>
                <c:pt idx="0">
                  <c:v>ACTUAL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square"/>
            <c:size val="17"/>
            <c:spPr>
              <a:solidFill>
                <a:schemeClr val="accent5"/>
              </a:solidFill>
              <a:ln w="12700">
                <a:solidFill>
                  <a:schemeClr val="accent5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'Weekly Jumper'!$B$2:$N$2</c15:sqref>
                  </c15:fullRef>
                </c:ext>
              </c:extLst>
              <c:f>'Weekly Jumper'!$B$2:$H$2</c:f>
              <c:strCache>
                <c:ptCount val="6"/>
                <c:pt idx="0">
                  <c:v>wk1('25)</c:v>
                </c:pt>
                <c:pt idx="1">
                  <c:v>wk1('26)</c:v>
                </c:pt>
                <c:pt idx="2">
                  <c:v>wk39</c:v>
                </c:pt>
                <c:pt idx="3">
                  <c:v>wk40</c:v>
                </c:pt>
                <c:pt idx="4">
                  <c:v>wk41</c:v>
                </c:pt>
                <c:pt idx="5">
                  <c:v>wk42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'Weekly Jumper'!$B$8:$F$8</c15:sqref>
                  </c15:fullRef>
                </c:ext>
              </c:extLst>
              <c:f>'Weekly Jumper'!$B$8:$F$8</c:f>
              <c:numCache>
                <c:formatCode>0</c:formatCode>
                <c:ptCount val="5"/>
                <c:pt idx="0">
                  <c:v>200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6F-407D-B81E-FCD944FFE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1250527"/>
        <c:axId val="581251007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'Weekly Jumper'!$A$7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ln w="317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'Weekly Jumper'!$B$2:$N$2</c15:sqref>
                        </c15:fullRef>
                        <c15:formulaRef>
                          <c15:sqref>'Weekly Jumper'!$B$2:$H$2</c15:sqref>
                        </c15:formulaRef>
                      </c:ext>
                    </c:extLst>
                    <c:strCache>
                      <c:ptCount val="6"/>
                      <c:pt idx="0">
                        <c:v>wk1('25)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'Weekly Jumper'!$B$7:$N$7</c15:sqref>
                        </c15:fullRef>
                        <c15:formulaRef>
                          <c15:sqref>'Weekly Jumper'!$B$7:$H$7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496</c:v>
                      </c:pt>
                      <c:pt idx="1">
                        <c:v>9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A-5F6F-407D-B81E-FCD944FFE842}"/>
                  </c:ext>
                </c:extLst>
              </c15:ser>
            </c15:filteredLineSeries>
          </c:ext>
        </c:extLst>
      </c:lineChart>
      <c:catAx>
        <c:axId val="58125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581251007"/>
        <c:crosses val="autoZero"/>
        <c:auto val="1"/>
        <c:lblAlgn val="ctr"/>
        <c:lblOffset val="100"/>
        <c:noMultiLvlLbl val="0"/>
      </c:catAx>
      <c:valAx>
        <c:axId val="581251007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58125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100" b="1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AFI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775947135658942E-2"/>
          <c:y val="0.28932253269957514"/>
          <c:w val="0.92448105728682117"/>
          <c:h val="0.59347301539725406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'Weekly Jumper'!$A$5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F0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2.307053361508460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A0D-4EA3-8B34-D263E06C748F}"/>
                </c:ext>
              </c:extLst>
            </c:dLbl>
            <c:dLbl>
              <c:idx val="1"/>
              <c:layout>
                <c:manualLayout>
                  <c:x val="0"/>
                  <c:y val="-2.307053361508460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A0D-4EA3-8B34-D263E06C748F}"/>
                </c:ext>
              </c:extLst>
            </c:dLbl>
            <c:dLbl>
              <c:idx val="2"/>
              <c:layout>
                <c:manualLayout>
                  <c:x val="6.2931725268321895E-17"/>
                  <c:y val="-2.307053361508460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A0D-4EA3-8B34-D263E06C748F}"/>
                </c:ext>
              </c:extLst>
            </c:dLbl>
            <c:dLbl>
              <c:idx val="3"/>
              <c:layout>
                <c:manualLayout>
                  <c:x val="0"/>
                  <c:y val="-1.730290021131347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A0D-4EA3-8B34-D263E06C748F}"/>
                </c:ext>
              </c:extLst>
            </c:dLbl>
            <c:dLbl>
              <c:idx val="4"/>
              <c:layout>
                <c:manualLayout>
                  <c:x val="0"/>
                  <c:y val="-2.334289564944484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C58-472C-A5B3-83FD7D47B429}"/>
                </c:ext>
              </c:extLst>
            </c:dLbl>
            <c:dLbl>
              <c:idx val="5"/>
              <c:layout>
                <c:manualLayout>
                  <c:x val="-1.2553134536140755E-16"/>
                  <c:y val="-2.334289564944484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273-4B4C-85F0-FB3DD0515B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'Weekly Jumper'!$B$2:$N$2</c15:sqref>
                  </c15:fullRef>
                </c:ext>
              </c:extLst>
              <c:f>'Weekly Jumper'!$B$2:$H$2</c:f>
              <c:strCache>
                <c:ptCount val="6"/>
                <c:pt idx="0">
                  <c:v>wk1('25)</c:v>
                </c:pt>
                <c:pt idx="1">
                  <c:v>wk1('26)</c:v>
                </c:pt>
                <c:pt idx="2">
                  <c:v>wk39</c:v>
                </c:pt>
                <c:pt idx="3">
                  <c:v>wk40</c:v>
                </c:pt>
                <c:pt idx="4">
                  <c:v>wk41</c:v>
                </c:pt>
                <c:pt idx="5">
                  <c:v>wk42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'Weekly Jumper'!$B$5:$G$5</c15:sqref>
                  </c15:fullRef>
                </c:ext>
              </c:extLst>
              <c:f>'Weekly Jumper'!$B$5:$G$5</c:f>
              <c:numCache>
                <c:formatCode>0</c:formatCode>
                <c:ptCount val="6"/>
                <c:pt idx="5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0D-4EA3-8B34-D263E06C74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81250527"/>
        <c:axId val="58125100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'Weekly Jumper'!$A$3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rgbClr val="00B0F0"/>
                  </a:solidFill>
                  <a:ln>
                    <a:noFill/>
                  </a:ln>
                  <a:effectLst/>
                </c:spPr>
                <c:invertIfNegative val="0"/>
                <c:dLbls>
                  <c:dLbl>
                    <c:idx val="3"/>
                    <c:layout>
                      <c:manualLayout>
                        <c:x val="-3.1465862634160948E-17"/>
                        <c:y val="-1.1344020515597516E-2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CA0D-4EA3-8B34-D263E06C748F}"/>
                      </c:ext>
                    </c:extLst>
                  </c:dLbl>
                  <c:dLbl>
                    <c:idx val="4"/>
                    <c:layout>
                      <c:manualLayout>
                        <c:x val="-6.2931725268321895E-17"/>
                        <c:y val="2.8078581739896609E-4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CA0D-4EA3-8B34-D263E06C748F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2">
                              <a:lumMod val="50000"/>
                            </a:schemeClr>
                          </a:solidFill>
                          <a:latin typeface="Calibri" panose="020F0502020204030204" pitchFamily="34" charset="0"/>
                          <a:ea typeface="Calibri" panose="020F0502020204030204" pitchFamily="34" charset="0"/>
                          <a:cs typeface="Calibri" panose="020F0502020204030204" pitchFamily="34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'Weekly Jumper'!$B$2:$N$2</c15:sqref>
                        </c15:fullRef>
                        <c15:formulaRef>
                          <c15:sqref>'Weekly Jumper'!$B$2:$H$2</c15:sqref>
                        </c15:formulaRef>
                      </c:ext>
                    </c:extLst>
                    <c:strCache>
                      <c:ptCount val="6"/>
                      <c:pt idx="0">
                        <c:v>wk1('25)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'Weekly Jumper'!$B$3:$N$3</c15:sqref>
                        </c15:fullRef>
                        <c15:formulaRef>
                          <c15:sqref>'Weekly Jumper'!$B$3:$H$3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496</c:v>
                      </c:pt>
                      <c:pt idx="5">
                        <c:v>3</c:v>
                      </c:pt>
                    </c:numCache>
                  </c:numRef>
                </c:val>
                <c:extLst>
                  <c:ext uri="{02D57815-91ED-43cb-92C2-25804820EDAC}">
                    <c15:categoryFilterExceptions>
                      <c15:categoryFilterException>
                        <c15:sqref>'Weekly Jumper'!$I$3</c15:sqref>
                        <c15:dLbl>
                          <c:idx val="6"/>
                          <c:layout>
                            <c:manualLayout>
                              <c:x val="0"/>
                              <c:y val="2.9178619561805952E-2"/>
                            </c:manualLayout>
                          </c:layout>
                          <c:dLblPos val="outEnd"/>
                          <c:showLegendKey val="0"/>
                          <c:showVal val="1"/>
                          <c:showCatName val="0"/>
                          <c:showSerName val="0"/>
                          <c:showPercent val="0"/>
                          <c:showBubbleSize val="0"/>
                          <c:extLst>
                            <c:ext uri="{CE6537A1-D6FC-4f65-9D91-7224C49458BB}"/>
                            <c:ext xmlns:c16="http://schemas.microsoft.com/office/drawing/2014/chart" uri="{C3380CC4-5D6E-409C-BE32-E72D297353CC}">
                              <c16:uniqueId val="{00000000-90DD-4393-8086-CE2D1BDF5AEA}"/>
                            </c:ext>
                          </c:extLst>
                        </c15:dLbl>
                      </c15:categoryFilterException>
                      <c15:categoryFilterException>
                        <c15:sqref>'Weekly Jumper'!$J$3</c15:sqref>
                        <c15:dLbl>
                          <c:idx val="6"/>
                          <c:layout>
                            <c:manualLayout>
                              <c:x val="0"/>
                              <c:y val="3.5014343474167271E-2"/>
                            </c:manualLayout>
                          </c:layout>
                          <c:dLblPos val="outEnd"/>
                          <c:showLegendKey val="0"/>
                          <c:showVal val="1"/>
                          <c:showCatName val="0"/>
                          <c:showSerName val="0"/>
                          <c:showPercent val="0"/>
                          <c:showBubbleSize val="0"/>
                          <c:extLst>
                            <c:ext uri="{CE6537A1-D6FC-4f65-9D91-7224C49458BB}"/>
                            <c:ext xmlns:c16="http://schemas.microsoft.com/office/drawing/2014/chart" uri="{C3380CC4-5D6E-409C-BE32-E72D297353CC}">
                              <c16:uniqueId val="{00000001-90DD-4393-8086-CE2D1BDF5AEA}"/>
                            </c:ext>
                          </c:extLst>
                        </c15:dLbl>
                      </c15:categoryFilterException>
                      <c15:categoryFilterException>
                        <c15:sqref>'Weekly Jumper'!$K$3</c15:sqref>
                        <c15:dLbl>
                          <c:idx val="6"/>
                          <c:layout>
                            <c:manualLayout>
                              <c:x val="0"/>
                              <c:y val="2.3342895649444848E-2"/>
                            </c:manualLayout>
                          </c:layout>
                          <c:dLblPos val="outEnd"/>
                          <c:showLegendKey val="0"/>
                          <c:showVal val="1"/>
                          <c:showCatName val="0"/>
                          <c:showSerName val="0"/>
                          <c:showPercent val="0"/>
                          <c:showBubbleSize val="0"/>
                          <c:extLst>
                            <c:ext uri="{CE6537A1-D6FC-4f65-9D91-7224C49458BB}"/>
                            <c:ext xmlns:c16="http://schemas.microsoft.com/office/drawing/2014/chart" uri="{C3380CC4-5D6E-409C-BE32-E72D297353CC}">
                              <c16:uniqueId val="{00000002-90DD-4393-8086-CE2D1BDF5AEA}"/>
                            </c:ext>
                          </c:extLst>
                        </c15:dLbl>
                      </c15:categoryFilterException>
                    </c15:categoryFilterExceptions>
                  </c:ext>
                  <c:ext xmlns:c16="http://schemas.microsoft.com/office/drawing/2014/chart" uri="{C3380CC4-5D6E-409C-BE32-E72D297353CC}">
                    <c16:uniqueId val="{00000007-CA0D-4EA3-8B34-D263E06C748F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Jumper'!$A$4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'Weekly Jumper'!$B$2:$N$2</c15:sqref>
                        </c15:fullRef>
                        <c15:formulaRef>
                          <c15:sqref>'Weekly Jumper'!$B$2:$H$2</c15:sqref>
                        </c15:formulaRef>
                      </c:ext>
                    </c:extLst>
                    <c:strCache>
                      <c:ptCount val="6"/>
                      <c:pt idx="0">
                        <c:v>wk1('25)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'Weekly Jumper'!$B$4:$N$4</c15:sqref>
                        </c15:fullRef>
                        <c15:formulaRef>
                          <c15:sqref>'Weekly Jumper'!$B$4:$H$4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200</c:v>
                      </c:pt>
                      <c:pt idx="5">
                        <c:v>0.15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A0D-4EA3-8B34-D263E06C748F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Jumper'!$A$6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'Weekly Jumper'!$B$2:$N$2</c15:sqref>
                        </c15:fullRef>
                        <c15:formulaRef>
                          <c15:sqref>'Weekly Jumper'!$B$2:$H$2</c15:sqref>
                        </c15:formulaRef>
                      </c:ext>
                    </c:extLst>
                    <c:strCache>
                      <c:ptCount val="6"/>
                      <c:pt idx="0">
                        <c:v>wk1('25)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'Weekly Jumper'!$B$6:$N$6</c15:sqref>
                        </c15:fullRef>
                        <c15:formulaRef>
                          <c15:sqref>'Weekly Jumper'!$B$6:$H$6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5</c:v>
                      </c:pt>
                      <c:pt idx="1">
                        <c:v>2</c:v>
                      </c:pt>
                      <c:pt idx="5">
                        <c:v>0.15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A0D-4EA3-8B34-D263E06C748F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Jumper'!$A$10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'Weekly Jumper'!$B$2:$N$2</c15:sqref>
                        </c15:fullRef>
                        <c15:formulaRef>
                          <c15:sqref>'Weekly Jumper'!$B$2:$H$2</c15:sqref>
                        </c15:formulaRef>
                      </c:ext>
                    </c:extLst>
                    <c:strCache>
                      <c:ptCount val="6"/>
                      <c:pt idx="0">
                        <c:v>wk1('25)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'Weekly Jumper'!$B$10:$N$10</c15:sqref>
                        </c15:fullRef>
                        <c15:formulaRef>
                          <c15:sqref>'Weekly Jumper'!$B$10:$H$10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5</c:v>
                      </c:pt>
                      <c:pt idx="1">
                        <c:v>2</c:v>
                      </c:pt>
                      <c:pt idx="2">
                        <c:v>0.01</c:v>
                      </c:pt>
                      <c:pt idx="3">
                        <c:v>0.01</c:v>
                      </c:pt>
                      <c:pt idx="4">
                        <c:v>0.01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CA0D-4EA3-8B34-D263E06C748F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6"/>
          <c:order val="6"/>
          <c:tx>
            <c:strRef>
              <c:f>'Weekly Jumper'!$A$9</c:f>
              <c:strCache>
                <c:ptCount val="1"/>
                <c:pt idx="0">
                  <c:v>ACTUAL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square"/>
            <c:size val="16"/>
            <c:spPr>
              <a:solidFill>
                <a:schemeClr val="accent5"/>
              </a:solidFill>
              <a:ln w="12700">
                <a:solidFill>
                  <a:schemeClr val="accent5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'Weekly Jumper'!$B$2:$N$2</c15:sqref>
                  </c15:fullRef>
                </c:ext>
              </c:extLst>
              <c:f>'Weekly Jumper'!$B$2:$H$2</c:f>
              <c:strCache>
                <c:ptCount val="6"/>
                <c:pt idx="0">
                  <c:v>wk1('25)</c:v>
                </c:pt>
                <c:pt idx="1">
                  <c:v>wk1('26)</c:v>
                </c:pt>
                <c:pt idx="2">
                  <c:v>wk39</c:v>
                </c:pt>
                <c:pt idx="3">
                  <c:v>wk40</c:v>
                </c:pt>
                <c:pt idx="4">
                  <c:v>wk41</c:v>
                </c:pt>
                <c:pt idx="5">
                  <c:v>wk42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'Weekly Jumper'!$B$9:$F$9</c15:sqref>
                  </c15:fullRef>
                </c:ext>
              </c:extLst>
              <c:f>'Weekly Jumper'!$B$9:$F$9</c:f>
              <c:numCache>
                <c:formatCode>0</c:formatCode>
                <c:ptCount val="5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0D-4EA3-8B34-D263E06C7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1250527"/>
        <c:axId val="581251007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'Weekly Jumper'!$A$7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ln w="317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'Weekly Jumper'!$B$2:$N$2</c15:sqref>
                        </c15:fullRef>
                        <c15:formulaRef>
                          <c15:sqref>'Weekly Jumper'!$B$2:$H$2</c15:sqref>
                        </c15:formulaRef>
                      </c:ext>
                    </c:extLst>
                    <c:strCache>
                      <c:ptCount val="6"/>
                      <c:pt idx="0">
                        <c:v>wk1('25)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'Weekly Jumper'!$B$7:$N$7</c15:sqref>
                        </c15:fullRef>
                        <c15:formulaRef>
                          <c15:sqref>'Weekly Jumper'!$B$7:$H$7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496</c:v>
                      </c:pt>
                      <c:pt idx="1">
                        <c:v>9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A-CA0D-4EA3-8B34-D263E06C748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Jumper'!$A$8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ln w="317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'Weekly Jumper'!$B$2:$N$2</c15:sqref>
                        </c15:fullRef>
                        <c15:formulaRef>
                          <c15:sqref>'Weekly Jumper'!$B$2:$H$2</c15:sqref>
                        </c15:formulaRef>
                      </c:ext>
                    </c:extLst>
                    <c:strCache>
                      <c:ptCount val="6"/>
                      <c:pt idx="0">
                        <c:v>wk1('25)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'Weekly Jumper'!$B$8:$N$8</c15:sqref>
                        </c15:fullRef>
                        <c15:formulaRef>
                          <c15:sqref>'Weekly Jumper'!$B$8:$H$8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200</c:v>
                      </c:pt>
                      <c:pt idx="1">
                        <c:v>0.01</c:v>
                      </c:pt>
                      <c:pt idx="2">
                        <c:v>0.01</c:v>
                      </c:pt>
                      <c:pt idx="3">
                        <c:v>0.01</c:v>
                      </c:pt>
                      <c:pt idx="4">
                        <c:v>0.01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CA0D-4EA3-8B34-D263E06C748F}"/>
                  </c:ext>
                </c:extLst>
              </c15:ser>
            </c15:filteredLineSeries>
          </c:ext>
        </c:extLst>
      </c:lineChart>
      <c:catAx>
        <c:axId val="58125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581251007"/>
        <c:crosses val="autoZero"/>
        <c:auto val="1"/>
        <c:lblAlgn val="ctr"/>
        <c:lblOffset val="100"/>
        <c:noMultiLvlLbl val="0"/>
      </c:catAx>
      <c:valAx>
        <c:axId val="581251007"/>
        <c:scaling>
          <c:orientation val="minMax"/>
          <c:max val="5"/>
        </c:scaling>
        <c:delete val="1"/>
        <c:axPos val="l"/>
        <c:numFmt formatCode="0" sourceLinked="1"/>
        <c:majorTickMark val="out"/>
        <c:minorTickMark val="none"/>
        <c:tickLblPos val="nextTo"/>
        <c:crossAx val="58125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1507009657993"/>
          <c:y val="0.38849120924881608"/>
          <c:w val="0.20002137905600778"/>
          <c:h val="0.2016840411340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100" b="1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AFI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775947135658942E-2"/>
          <c:y val="0.28932253269957514"/>
          <c:w val="0.92448105728682117"/>
          <c:h val="0.59347301539725406"/>
        </c:manualLayout>
      </c:layout>
      <c:barChart>
        <c:barDir val="col"/>
        <c:grouping val="clustered"/>
        <c:varyColors val="0"/>
        <c:ser>
          <c:idx val="3"/>
          <c:order val="3"/>
          <c:tx>
            <c:strRef>
              <c:f>'Weekly Jumper'!$A$6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0.1465903639011907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30C-42A4-88ED-972B72E9B21E}"/>
                </c:ext>
              </c:extLst>
            </c:dLbl>
            <c:dLbl>
              <c:idx val="1"/>
              <c:layout>
                <c:manualLayout>
                  <c:x val="0"/>
                  <c:y val="3.222744857029902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30C-42A4-88ED-972B72E9B21E}"/>
                </c:ext>
              </c:extLst>
            </c:dLbl>
            <c:dLbl>
              <c:idx val="2"/>
              <c:layout>
                <c:manualLayout>
                  <c:x val="-3.4326792142354017E-3"/>
                  <c:y val="-2.769260239407440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30C-42A4-88ED-972B72E9B21E}"/>
                </c:ext>
              </c:extLst>
            </c:dLbl>
            <c:dLbl>
              <c:idx val="3"/>
              <c:layout>
                <c:manualLayout>
                  <c:x val="6.2931725268321895E-17"/>
                  <c:y val="-3.356997909395829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30C-42A4-88ED-972B72E9B21E}"/>
                </c:ext>
              </c:extLst>
            </c:dLbl>
            <c:dLbl>
              <c:idx val="4"/>
              <c:layout>
                <c:manualLayout>
                  <c:x val="0"/>
                  <c:y val="-4.222798673072631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libri" panose="020F0502020204030204" pitchFamily="34" charset="0"/>
                      <a:ea typeface="Calibri" panose="020F0502020204030204" pitchFamily="34" charset="0"/>
                      <a:cs typeface="Calibri" panose="020F0502020204030204" pitchFamily="34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9733126759923819E-2"/>
                      <c:h val="9.15854112793055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CE63-48DF-9FFA-8B3053F3461F}"/>
                </c:ext>
              </c:extLst>
            </c:dLbl>
            <c:dLbl>
              <c:idx val="5"/>
              <c:layout>
                <c:manualLayout>
                  <c:x val="0"/>
                  <c:y val="3.223657919275332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B01-494A-A133-1446D2F4FC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'Weekly Jumper'!$B$2:$N$2</c15:sqref>
                  </c15:fullRef>
                </c:ext>
              </c:extLst>
              <c:f>'Weekly Jumper'!$B$2:$H$2</c:f>
              <c:strCache>
                <c:ptCount val="6"/>
                <c:pt idx="0">
                  <c:v>wk1('25)</c:v>
                </c:pt>
                <c:pt idx="1">
                  <c:v>wk1('26)</c:v>
                </c:pt>
                <c:pt idx="2">
                  <c:v>wk39</c:v>
                </c:pt>
                <c:pt idx="3">
                  <c:v>wk40</c:v>
                </c:pt>
                <c:pt idx="4">
                  <c:v>wk41</c:v>
                </c:pt>
                <c:pt idx="5">
                  <c:v>wk42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'Weekly Jumper'!$B$6:$G$6</c15:sqref>
                  </c15:fullRef>
                </c:ext>
              </c:extLst>
              <c:f>'Weekly Jumper'!$B$6:$G$6</c:f>
              <c:numCache>
                <c:formatCode>0</c:formatCode>
                <c:ptCount val="6"/>
                <c:pt idx="0">
                  <c:v>5</c:v>
                </c:pt>
                <c:pt idx="1">
                  <c:v>2</c:v>
                </c:pt>
                <c:pt idx="5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0C-42A4-88ED-972B72E9B2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81250527"/>
        <c:axId val="58125100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'Weekly Jumper'!$A$3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rgbClr val="00B0F0"/>
                  </a:solidFill>
                  <a:ln>
                    <a:noFill/>
                  </a:ln>
                  <a:effectLst/>
                </c:spPr>
                <c:invertIfNegative val="0"/>
                <c:dLbls>
                  <c:dLbl>
                    <c:idx val="3"/>
                    <c:layout>
                      <c:manualLayout>
                        <c:x val="-3.1465862634160948E-17"/>
                        <c:y val="-1.1344020515597516E-2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E30C-42A4-88ED-972B72E9B21E}"/>
                      </c:ext>
                    </c:extLst>
                  </c:dLbl>
                  <c:dLbl>
                    <c:idx val="4"/>
                    <c:layout>
                      <c:manualLayout>
                        <c:x val="-6.2931725268321895E-17"/>
                        <c:y val="2.8078581739896609E-4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E30C-42A4-88ED-972B72E9B21E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2">
                              <a:lumMod val="50000"/>
                            </a:schemeClr>
                          </a:solidFill>
                          <a:latin typeface="Calibri" panose="020F0502020204030204" pitchFamily="34" charset="0"/>
                          <a:ea typeface="Calibri" panose="020F0502020204030204" pitchFamily="34" charset="0"/>
                          <a:cs typeface="Calibri" panose="020F0502020204030204" pitchFamily="34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'Weekly Jumper'!$B$2:$N$2</c15:sqref>
                        </c15:fullRef>
                        <c15:formulaRef>
                          <c15:sqref>'Weekly Jumper'!$B$2:$H$2</c15:sqref>
                        </c15:formulaRef>
                      </c:ext>
                    </c:extLst>
                    <c:strCache>
                      <c:ptCount val="6"/>
                      <c:pt idx="0">
                        <c:v>wk1('25)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'Weekly Jumper'!$B$3:$N$3</c15:sqref>
                        </c15:fullRef>
                        <c15:formulaRef>
                          <c15:sqref>'Weekly Jumper'!$B$3:$H$3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496</c:v>
                      </c:pt>
                      <c:pt idx="5">
                        <c:v>3</c:v>
                      </c:pt>
                    </c:numCache>
                  </c:numRef>
                </c:val>
                <c:extLst>
                  <c:ext uri="{02D57815-91ED-43cb-92C2-25804820EDAC}">
                    <c15:categoryFilterExceptions>
                      <c15:categoryFilterException>
                        <c15:sqref>'Weekly Jumper'!$I$3</c15:sqref>
                        <c15:dLbl>
                          <c:idx val="6"/>
                          <c:layout>
                            <c:manualLayout>
                              <c:x val="0"/>
                              <c:y val="2.9178619561805952E-2"/>
                            </c:manualLayout>
                          </c:layout>
                          <c:dLblPos val="outEnd"/>
                          <c:showLegendKey val="0"/>
                          <c:showVal val="1"/>
                          <c:showCatName val="0"/>
                          <c:showSerName val="0"/>
                          <c:showPercent val="0"/>
                          <c:showBubbleSize val="0"/>
                          <c:extLst>
                            <c:ext uri="{CE6537A1-D6FC-4f65-9D91-7224C49458BB}"/>
                            <c:ext xmlns:c16="http://schemas.microsoft.com/office/drawing/2014/chart" uri="{C3380CC4-5D6E-409C-BE32-E72D297353CC}">
                              <c16:uniqueId val="{00000000-E7D9-4993-85B0-4BCD9BA0D726}"/>
                            </c:ext>
                          </c:extLst>
                        </c15:dLbl>
                      </c15:categoryFilterException>
                      <c15:categoryFilterException>
                        <c15:sqref>'Weekly Jumper'!$J$3</c15:sqref>
                        <c15:dLbl>
                          <c:idx val="6"/>
                          <c:layout>
                            <c:manualLayout>
                              <c:x val="0"/>
                              <c:y val="3.5014343474167271E-2"/>
                            </c:manualLayout>
                          </c:layout>
                          <c:dLblPos val="outEnd"/>
                          <c:showLegendKey val="0"/>
                          <c:showVal val="1"/>
                          <c:showCatName val="0"/>
                          <c:showSerName val="0"/>
                          <c:showPercent val="0"/>
                          <c:showBubbleSize val="0"/>
                          <c:extLst>
                            <c:ext uri="{CE6537A1-D6FC-4f65-9D91-7224C49458BB}"/>
                            <c:ext xmlns:c16="http://schemas.microsoft.com/office/drawing/2014/chart" uri="{C3380CC4-5D6E-409C-BE32-E72D297353CC}">
                              <c16:uniqueId val="{00000001-E7D9-4993-85B0-4BCD9BA0D726}"/>
                            </c:ext>
                          </c:extLst>
                        </c15:dLbl>
                      </c15:categoryFilterException>
                      <c15:categoryFilterException>
                        <c15:sqref>'Weekly Jumper'!$K$3</c15:sqref>
                        <c15:dLbl>
                          <c:idx val="6"/>
                          <c:layout>
                            <c:manualLayout>
                              <c:x val="0"/>
                              <c:y val="2.3342895649444848E-2"/>
                            </c:manualLayout>
                          </c:layout>
                          <c:dLblPos val="outEnd"/>
                          <c:showLegendKey val="0"/>
                          <c:showVal val="1"/>
                          <c:showCatName val="0"/>
                          <c:showSerName val="0"/>
                          <c:showPercent val="0"/>
                          <c:showBubbleSize val="0"/>
                          <c:extLst>
                            <c:ext uri="{CE6537A1-D6FC-4f65-9D91-7224C49458BB}"/>
                            <c:ext xmlns:c16="http://schemas.microsoft.com/office/drawing/2014/chart" uri="{C3380CC4-5D6E-409C-BE32-E72D297353CC}">
                              <c16:uniqueId val="{00000002-E7D9-4993-85B0-4BCD9BA0D726}"/>
                            </c:ext>
                          </c:extLst>
                        </c15:dLbl>
                      </c15:categoryFilterException>
                    </c15:categoryFilterExceptions>
                  </c:ext>
                  <c:ext xmlns:c16="http://schemas.microsoft.com/office/drawing/2014/chart" uri="{C3380CC4-5D6E-409C-BE32-E72D297353CC}">
                    <c16:uniqueId val="{00000007-E30C-42A4-88ED-972B72E9B21E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Jumper'!$A$4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'Weekly Jumper'!$B$2:$N$2</c15:sqref>
                        </c15:fullRef>
                        <c15:formulaRef>
                          <c15:sqref>'Weekly Jumper'!$B$2:$H$2</c15:sqref>
                        </c15:formulaRef>
                      </c:ext>
                    </c:extLst>
                    <c:strCache>
                      <c:ptCount val="6"/>
                      <c:pt idx="0">
                        <c:v>wk1('25)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'Weekly Jumper'!$B$4:$N$4</c15:sqref>
                        </c15:fullRef>
                        <c15:formulaRef>
                          <c15:sqref>'Weekly Jumper'!$B$4:$H$4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200</c:v>
                      </c:pt>
                      <c:pt idx="5">
                        <c:v>0.15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30C-42A4-88ED-972B72E9B21E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Jumper'!$A$5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rgbClr val="00B0F0"/>
                  </a:solidFill>
                  <a:ln>
                    <a:solidFill>
                      <a:srgbClr val="00B0F0"/>
                    </a:solidFill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2">
                              <a:lumMod val="50000"/>
                            </a:schemeClr>
                          </a:solidFill>
                          <a:latin typeface="Calibri" panose="020F0502020204030204" pitchFamily="34" charset="0"/>
                          <a:ea typeface="Calibri" panose="020F0502020204030204" pitchFamily="34" charset="0"/>
                          <a:cs typeface="Calibri" panose="020F0502020204030204" pitchFamily="34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'Weekly Jumper'!$B$2:$N$2</c15:sqref>
                        </c15:fullRef>
                        <c15:formulaRef>
                          <c15:sqref>'Weekly Jumper'!$B$2:$H$2</c15:sqref>
                        </c15:formulaRef>
                      </c:ext>
                    </c:extLst>
                    <c:strCache>
                      <c:ptCount val="6"/>
                      <c:pt idx="0">
                        <c:v>wk1('25)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'Weekly Jumper'!$B$5:$N$5</c15:sqref>
                        </c15:fullRef>
                        <c15:formulaRef>
                          <c15:sqref>'Weekly Jumper'!$B$5:$H$5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5">
                        <c:v>0.15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30C-42A4-88ED-972B72E9B21E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7"/>
          <c:order val="7"/>
          <c:tx>
            <c:strRef>
              <c:f>'Weekly Jumper'!$A$10</c:f>
              <c:strCache>
                <c:ptCount val="1"/>
                <c:pt idx="0">
                  <c:v>ACTUAL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square"/>
            <c:size val="18"/>
            <c:spPr>
              <a:solidFill>
                <a:schemeClr val="accent5"/>
              </a:solidFill>
              <a:ln w="12700">
                <a:solidFill>
                  <a:schemeClr val="accent5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'Weekly Jumper'!$B$2:$N$2</c15:sqref>
                  </c15:fullRef>
                </c:ext>
              </c:extLst>
              <c:f>'Weekly Jumper'!$B$2:$H$2</c:f>
              <c:strCache>
                <c:ptCount val="6"/>
                <c:pt idx="0">
                  <c:v>wk1('25)</c:v>
                </c:pt>
                <c:pt idx="1">
                  <c:v>wk1('26)</c:v>
                </c:pt>
                <c:pt idx="2">
                  <c:v>wk39</c:v>
                </c:pt>
                <c:pt idx="3">
                  <c:v>wk40</c:v>
                </c:pt>
                <c:pt idx="4">
                  <c:v>wk41</c:v>
                </c:pt>
                <c:pt idx="5">
                  <c:v>wk42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'Weekly Jumper'!$B$10:$F$10</c15:sqref>
                  </c15:fullRef>
                </c:ext>
              </c:extLst>
              <c:f>'Weekly Jumper'!$B$10:$F$10</c:f>
              <c:numCache>
                <c:formatCode>0</c:formatCode>
                <c:ptCount val="5"/>
                <c:pt idx="0">
                  <c:v>5</c:v>
                </c:pt>
                <c:pt idx="1">
                  <c:v>2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0C-42A4-88ED-972B72E9B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1250527"/>
        <c:axId val="581251007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'Weekly Jumper'!$A$7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ln w="317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'Weekly Jumper'!$B$2:$N$2</c15:sqref>
                        </c15:fullRef>
                        <c15:formulaRef>
                          <c15:sqref>'Weekly Jumper'!$B$2:$H$2</c15:sqref>
                        </c15:formulaRef>
                      </c:ext>
                    </c:extLst>
                    <c:strCache>
                      <c:ptCount val="6"/>
                      <c:pt idx="0">
                        <c:v>wk1('25)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'Weekly Jumper'!$B$7:$N$7</c15:sqref>
                        </c15:fullRef>
                        <c15:formulaRef>
                          <c15:sqref>'Weekly Jumper'!$B$7:$H$7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496</c:v>
                      </c:pt>
                      <c:pt idx="1">
                        <c:v>9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A-E30C-42A4-88ED-972B72E9B21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Jumper'!$A$8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ln w="317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'Weekly Jumper'!$B$2:$N$2</c15:sqref>
                        </c15:fullRef>
                        <c15:formulaRef>
                          <c15:sqref>'Weekly Jumper'!$B$2:$H$2</c15:sqref>
                        </c15:formulaRef>
                      </c:ext>
                    </c:extLst>
                    <c:strCache>
                      <c:ptCount val="6"/>
                      <c:pt idx="0">
                        <c:v>wk1('25)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'Weekly Jumper'!$B$8:$N$8</c15:sqref>
                        </c15:fullRef>
                        <c15:formulaRef>
                          <c15:sqref>'Weekly Jumper'!$B$8:$H$8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200</c:v>
                      </c:pt>
                      <c:pt idx="1">
                        <c:v>0.01</c:v>
                      </c:pt>
                      <c:pt idx="2">
                        <c:v>0.01</c:v>
                      </c:pt>
                      <c:pt idx="3">
                        <c:v>0.01</c:v>
                      </c:pt>
                      <c:pt idx="4">
                        <c:v>0.01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E30C-42A4-88ED-972B72E9B21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Jumper'!$A$9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ln w="317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'Weekly Jumper'!$B$2:$N$2</c15:sqref>
                        </c15:fullRef>
                        <c15:formulaRef>
                          <c15:sqref>'Weekly Jumper'!$B$2:$H$2</c15:sqref>
                        </c15:formulaRef>
                      </c:ext>
                    </c:extLst>
                    <c:strCache>
                      <c:ptCount val="6"/>
                      <c:pt idx="0">
                        <c:v>wk1('25)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'Weekly Jumper'!$B$9:$N$9</c15:sqref>
                        </c15:fullRef>
                        <c15:formulaRef>
                          <c15:sqref>'Weekly Jumper'!$B$9:$H$9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0.01</c:v>
                      </c:pt>
                      <c:pt idx="1">
                        <c:v>0.01</c:v>
                      </c:pt>
                      <c:pt idx="2">
                        <c:v>0.01</c:v>
                      </c:pt>
                      <c:pt idx="3">
                        <c:v>0.01</c:v>
                      </c:pt>
                      <c:pt idx="4">
                        <c:v>0.01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E30C-42A4-88ED-972B72E9B21E}"/>
                  </c:ext>
                </c:extLst>
              </c15:ser>
            </c15:filteredLineSeries>
          </c:ext>
        </c:extLst>
      </c:lineChart>
      <c:catAx>
        <c:axId val="58125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581251007"/>
        <c:crosses val="autoZero"/>
        <c:auto val="1"/>
        <c:lblAlgn val="ctr"/>
        <c:lblOffset val="100"/>
        <c:noMultiLvlLbl val="0"/>
      </c:catAx>
      <c:valAx>
        <c:axId val="581251007"/>
        <c:scaling>
          <c:orientation val="minMax"/>
          <c:max val="10"/>
        </c:scaling>
        <c:delete val="1"/>
        <c:axPos val="l"/>
        <c:numFmt formatCode="0" sourceLinked="1"/>
        <c:majorTickMark val="out"/>
        <c:minorTickMark val="none"/>
        <c:tickLblPos val="nextTo"/>
        <c:crossAx val="58125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100" b="1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Shortbranches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775947135658942E-2"/>
          <c:y val="0.28932253269957514"/>
          <c:w val="0.92448105728682117"/>
          <c:h val="0.593473015397254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'Weekly Jumper'!$A$49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0"/>
                  <c:y val="-1.711860995089979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9BA-46C5-A053-A44D31A82F02}"/>
                </c:ext>
              </c:extLst>
            </c:dLbl>
            <c:dLbl>
              <c:idx val="3"/>
              <c:layout>
                <c:manualLayout>
                  <c:x val="6.178642322637382E-17"/>
                  <c:y val="-2.853101658483287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9BA-46C5-A053-A44D31A82F02}"/>
                </c:ext>
              </c:extLst>
            </c:dLbl>
            <c:dLbl>
              <c:idx val="4"/>
              <c:layout>
                <c:manualLayout>
                  <c:x val="-1.2357284645274764E-16"/>
                  <c:y val="-2.282481326786625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9BA-46C5-A053-A44D31A82F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'Weekly Jumper'!$B$48:$N$48</c:f>
              <c:strCache>
                <c:ptCount val="6"/>
                <c:pt idx="0">
                  <c:v>wk1 ('25)</c:v>
                </c:pt>
                <c:pt idx="1">
                  <c:v>wk1('26)</c:v>
                </c:pt>
                <c:pt idx="2">
                  <c:v>wk39</c:v>
                </c:pt>
                <c:pt idx="3">
                  <c:v>wk40</c:v>
                </c:pt>
                <c:pt idx="4">
                  <c:v>wk41</c:v>
                </c:pt>
                <c:pt idx="5">
                  <c:v>wk42</c:v>
                </c:pt>
              </c:strCache>
            </c:strRef>
          </c:cat>
          <c:val>
            <c:numRef>
              <c:f>'Weekly Jumper'!$B$49:$G$49</c:f>
              <c:numCache>
                <c:formatCode>0</c:formatCode>
                <c:ptCount val="6"/>
                <c:pt idx="1">
                  <c:v>0.1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8C-4897-B795-A041E19379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81250527"/>
        <c:axId val="581251007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'Weekly Jumper'!$A$50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'Weekly Jumper'!$B$48:$N$48</c15:sqref>
                        </c15:formulaRef>
                      </c:ext>
                    </c:extLst>
                    <c:strCache>
                      <c:ptCount val="6"/>
                      <c:pt idx="0">
                        <c:v>wk1 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'Weekly Jumper'!$B$50:$N$50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14</c:v>
                      </c:pt>
                      <c:pt idx="1">
                        <c:v>0.3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858C-4897-B795-A041E1937908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Jumper'!$A$51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Jumper'!$B$48:$N$48</c15:sqref>
                        </c15:formulaRef>
                      </c:ext>
                    </c:extLst>
                    <c:strCache>
                      <c:ptCount val="6"/>
                      <c:pt idx="0">
                        <c:v>wk1 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Jumper'!$B$51:$N$51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4</c:v>
                      </c:pt>
                      <c:pt idx="1">
                        <c:v>4</c:v>
                      </c:pt>
                      <c:pt idx="2">
                        <c:v>0.3</c:v>
                      </c:pt>
                      <c:pt idx="3">
                        <c:v>0.3</c:v>
                      </c:pt>
                      <c:pt idx="4">
                        <c:v>0.3</c:v>
                      </c:pt>
                      <c:pt idx="5">
                        <c:v>0.3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58C-4897-B795-A041E1937908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Jumper'!$A$52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Jumper'!$B$48:$N$48</c15:sqref>
                        </c15:formulaRef>
                      </c:ext>
                    </c:extLst>
                    <c:strCache>
                      <c:ptCount val="6"/>
                      <c:pt idx="0">
                        <c:v>wk1 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Jumper'!$B$52:$N$52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1">
                        <c:v>0.3</c:v>
                      </c:pt>
                      <c:pt idx="2">
                        <c:v>0.3</c:v>
                      </c:pt>
                      <c:pt idx="3">
                        <c:v>0.3</c:v>
                      </c:pt>
                      <c:pt idx="4">
                        <c:v>0.3</c:v>
                      </c:pt>
                      <c:pt idx="5">
                        <c:v>0.3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58C-4897-B795-A041E1937908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Jumper'!$A$55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Jumper'!$B$48:$N$48</c15:sqref>
                        </c15:formulaRef>
                      </c:ext>
                    </c:extLst>
                    <c:strCache>
                      <c:ptCount val="6"/>
                      <c:pt idx="0">
                        <c:v>wk1 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Jumper'!$B$55:$N$55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5</c:v>
                      </c:pt>
                      <c:pt idx="1">
                        <c:v>6</c:v>
                      </c:pt>
                      <c:pt idx="2">
                        <c:v>0.3</c:v>
                      </c:pt>
                      <c:pt idx="3">
                        <c:v>0.3</c:v>
                      </c:pt>
                      <c:pt idx="4">
                        <c:v>0.3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58C-4897-B795-A041E1937908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Jumper'!$A$56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Jumper'!$B$48:$N$48</c15:sqref>
                        </c15:formulaRef>
                      </c:ext>
                    </c:extLst>
                    <c:strCache>
                      <c:ptCount val="6"/>
                      <c:pt idx="0">
                        <c:v>wk1 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Jumper'!$B$56:$N$56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0.01</c:v>
                      </c:pt>
                      <c:pt idx="1">
                        <c:v>1</c:v>
                      </c:pt>
                      <c:pt idx="2">
                        <c:v>0.3</c:v>
                      </c:pt>
                      <c:pt idx="3">
                        <c:v>0.3</c:v>
                      </c:pt>
                      <c:pt idx="4">
                        <c:v>0.3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58C-4897-B795-A041E1937908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4"/>
          <c:order val="4"/>
          <c:tx>
            <c:strRef>
              <c:f>'Weekly Jumper'!$A$53</c:f>
              <c:strCache>
                <c:ptCount val="1"/>
                <c:pt idx="0">
                  <c:v>ACTUAL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square"/>
            <c:size val="1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accent5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'Weekly Jumper'!$B$48:$N$48</c:f>
              <c:strCache>
                <c:ptCount val="6"/>
                <c:pt idx="0">
                  <c:v>wk1 ('25)</c:v>
                </c:pt>
                <c:pt idx="1">
                  <c:v>wk1('26)</c:v>
                </c:pt>
                <c:pt idx="2">
                  <c:v>wk39</c:v>
                </c:pt>
                <c:pt idx="3">
                  <c:v>wk40</c:v>
                </c:pt>
                <c:pt idx="4">
                  <c:v>wk41</c:v>
                </c:pt>
                <c:pt idx="5">
                  <c:v>wk42</c:v>
                </c:pt>
              </c:strCache>
            </c:strRef>
          </c:cat>
          <c:val>
            <c:numRef>
              <c:f>'Weekly Jumper'!$B$53:$F$53</c:f>
              <c:numCache>
                <c:formatCode>0</c:formatCode>
                <c:ptCount val="5"/>
                <c:pt idx="0">
                  <c:v>0.01</c:v>
                </c:pt>
                <c:pt idx="1">
                  <c:v>0.01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8C-4897-B795-A041E1937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1250527"/>
        <c:axId val="581251007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'Weekly Jumper'!$A$54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ln w="317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'Weekly Jumper'!$B$48:$N$48</c15:sqref>
                        </c15:formulaRef>
                      </c:ext>
                    </c:extLst>
                    <c:strCache>
                      <c:ptCount val="6"/>
                      <c:pt idx="0">
                        <c:v>wk1 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'Weekly Jumper'!$B$54:$N$54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14</c:v>
                      </c:pt>
                      <c:pt idx="1">
                        <c:v>0.01</c:v>
                      </c:pt>
                      <c:pt idx="2">
                        <c:v>2</c:v>
                      </c:pt>
                      <c:pt idx="3">
                        <c:v>5</c:v>
                      </c:pt>
                      <c:pt idx="4">
                        <c:v>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858C-4897-B795-A041E1937908}"/>
                  </c:ext>
                </c:extLst>
              </c15:ser>
            </c15:filteredLineSeries>
          </c:ext>
        </c:extLst>
      </c:lineChart>
      <c:catAx>
        <c:axId val="58125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581251007"/>
        <c:crosses val="autoZero"/>
        <c:auto val="1"/>
        <c:lblAlgn val="ctr"/>
        <c:lblOffset val="100"/>
        <c:noMultiLvlLbl val="0"/>
      </c:catAx>
      <c:valAx>
        <c:axId val="581251007"/>
        <c:scaling>
          <c:orientation val="minMax"/>
          <c:max val="40"/>
        </c:scaling>
        <c:delete val="1"/>
        <c:axPos val="l"/>
        <c:numFmt formatCode="0" sourceLinked="1"/>
        <c:majorTickMark val="out"/>
        <c:minorTickMark val="none"/>
        <c:tickLblPos val="nextTo"/>
        <c:crossAx val="58125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029150484950171"/>
          <c:y val="0.15796679440363223"/>
          <c:w val="0.19845831260745198"/>
          <c:h val="0.195100413707844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100" b="1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Shortbranches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775947135658942E-2"/>
          <c:y val="0.28932253269957514"/>
          <c:w val="0.92448105728682117"/>
          <c:h val="0.59347301539725406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'Weekly Jumper'!$A$51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6CE-48D9-90A5-24C370B57B6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6CE-48D9-90A5-24C370B57B6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6CE-48D9-90A5-24C370B57B66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58C-4BA2-9E6A-07C0E25B69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'Weekly Jumper'!$B$48:$N$48</c15:sqref>
                  </c15:fullRef>
                </c:ext>
              </c:extLst>
              <c:f>'Weekly Jumper'!$B$48:$H$48</c:f>
              <c:strCache>
                <c:ptCount val="6"/>
                <c:pt idx="0">
                  <c:v>wk1 ('25)</c:v>
                </c:pt>
                <c:pt idx="1">
                  <c:v>wk1('26)</c:v>
                </c:pt>
                <c:pt idx="2">
                  <c:v>wk39</c:v>
                </c:pt>
                <c:pt idx="3">
                  <c:v>wk40</c:v>
                </c:pt>
                <c:pt idx="4">
                  <c:v>wk41</c:v>
                </c:pt>
                <c:pt idx="5">
                  <c:v>wk42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'Weekly Jumper'!$B$51:$G$51</c15:sqref>
                  </c15:fullRef>
                </c:ext>
              </c:extLst>
              <c:f>'Weekly Jumper'!$B$51:$G$51</c:f>
              <c:numCache>
                <c:formatCode>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CE-48D9-90A5-24C370B57B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81250527"/>
        <c:axId val="58125100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'Weekly Jumper'!$A$49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bg2">
                      <a:lumMod val="9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2">
                              <a:lumMod val="50000"/>
                            </a:schemeClr>
                          </a:solidFill>
                          <a:latin typeface="Calibri" panose="020F0502020204030204" pitchFamily="34" charset="0"/>
                          <a:ea typeface="Calibri" panose="020F0502020204030204" pitchFamily="34" charset="0"/>
                          <a:cs typeface="Calibri" panose="020F0502020204030204" pitchFamily="34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'Weekly Jumper'!$B$48:$N$48</c15:sqref>
                        </c15:fullRef>
                        <c15:formulaRef>
                          <c15:sqref>'Weekly Jumper'!$B$48:$H$48</c15:sqref>
                        </c15:formulaRef>
                      </c:ext>
                    </c:extLst>
                    <c:strCache>
                      <c:ptCount val="6"/>
                      <c:pt idx="0">
                        <c:v>wk1 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'Weekly Jumper'!$B$49:$N$49</c15:sqref>
                        </c15:fullRef>
                        <c15:formulaRef>
                          <c15:sqref>'Weekly Jumper'!$B$49:$H$49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1">
                        <c:v>0.1</c:v>
                      </c:pt>
                      <c:pt idx="2">
                        <c:v>0.3</c:v>
                      </c:pt>
                      <c:pt idx="3">
                        <c:v>0.3</c:v>
                      </c:pt>
                      <c:pt idx="4">
                        <c:v>0.3</c:v>
                      </c:pt>
                      <c:pt idx="5">
                        <c:v>0.3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96CE-48D9-90A5-24C370B57B66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Jumper'!$A$50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'Weekly Jumper'!$B$48:$N$48</c15:sqref>
                        </c15:fullRef>
                        <c15:formulaRef>
                          <c15:sqref>'Weekly Jumper'!$B$48:$H$48</c15:sqref>
                        </c15:formulaRef>
                      </c:ext>
                    </c:extLst>
                    <c:strCache>
                      <c:ptCount val="6"/>
                      <c:pt idx="0">
                        <c:v>wk1 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'Weekly Jumper'!$B$50:$N$50</c15:sqref>
                        </c15:fullRef>
                        <c15:formulaRef>
                          <c15:sqref>'Weekly Jumper'!$B$50:$H$50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14</c:v>
                      </c:pt>
                      <c:pt idx="1">
                        <c:v>0.3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6CE-48D9-90A5-24C370B57B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Jumper'!$A$52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'Weekly Jumper'!$B$48:$N$48</c15:sqref>
                        </c15:fullRef>
                        <c15:formulaRef>
                          <c15:sqref>'Weekly Jumper'!$B$48:$H$48</c15:sqref>
                        </c15:formulaRef>
                      </c:ext>
                    </c:extLst>
                    <c:strCache>
                      <c:ptCount val="6"/>
                      <c:pt idx="0">
                        <c:v>wk1 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'Weekly Jumper'!$B$52:$N$52</c15:sqref>
                        </c15:fullRef>
                        <c15:formulaRef>
                          <c15:sqref>'Weekly Jumper'!$B$52:$H$52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1">
                        <c:v>0.3</c:v>
                      </c:pt>
                      <c:pt idx="2">
                        <c:v>0.3</c:v>
                      </c:pt>
                      <c:pt idx="3">
                        <c:v>0.3</c:v>
                      </c:pt>
                      <c:pt idx="4">
                        <c:v>0.3</c:v>
                      </c:pt>
                      <c:pt idx="5">
                        <c:v>0.3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6CE-48D9-90A5-24C370B57B66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Jumper'!$A$56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'Weekly Jumper'!$B$48:$N$48</c15:sqref>
                        </c15:fullRef>
                        <c15:formulaRef>
                          <c15:sqref>'Weekly Jumper'!$B$48:$H$48</c15:sqref>
                        </c15:formulaRef>
                      </c:ext>
                    </c:extLst>
                    <c:strCache>
                      <c:ptCount val="6"/>
                      <c:pt idx="0">
                        <c:v>wk1 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'Weekly Jumper'!$B$56:$N$56</c15:sqref>
                        </c15:fullRef>
                        <c15:formulaRef>
                          <c15:sqref>'Weekly Jumper'!$B$56:$H$56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0.01</c:v>
                      </c:pt>
                      <c:pt idx="1">
                        <c:v>1</c:v>
                      </c:pt>
                      <c:pt idx="2">
                        <c:v>0.3</c:v>
                      </c:pt>
                      <c:pt idx="3">
                        <c:v>0.3</c:v>
                      </c:pt>
                      <c:pt idx="4">
                        <c:v>0.3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6CE-48D9-90A5-24C370B57B66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6"/>
          <c:order val="6"/>
          <c:tx>
            <c:strRef>
              <c:f>'Weekly Jumper'!$A$55</c:f>
              <c:strCache>
                <c:ptCount val="1"/>
                <c:pt idx="0">
                  <c:v>ACTUAL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square"/>
            <c:size val="16"/>
            <c:spPr>
              <a:solidFill>
                <a:schemeClr val="accent5"/>
              </a:solidFill>
              <a:ln w="12700">
                <a:solidFill>
                  <a:schemeClr val="accent5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'Weekly Jumper'!$B$48:$N$48</c15:sqref>
                  </c15:fullRef>
                </c:ext>
              </c:extLst>
              <c:f>'Weekly Jumper'!$B$48:$H$48</c:f>
              <c:strCache>
                <c:ptCount val="6"/>
                <c:pt idx="0">
                  <c:v>wk1 ('25)</c:v>
                </c:pt>
                <c:pt idx="1">
                  <c:v>wk1('26)</c:v>
                </c:pt>
                <c:pt idx="2">
                  <c:v>wk39</c:v>
                </c:pt>
                <c:pt idx="3">
                  <c:v>wk40</c:v>
                </c:pt>
                <c:pt idx="4">
                  <c:v>wk41</c:v>
                </c:pt>
                <c:pt idx="5">
                  <c:v>wk42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'Weekly Jumper'!$B$55:$F$55</c15:sqref>
                  </c15:fullRef>
                </c:ext>
              </c:extLst>
              <c:f>'Weekly Jumper'!$B$55:$F$55</c:f>
              <c:numCache>
                <c:formatCode>0</c:formatCode>
                <c:ptCount val="5"/>
                <c:pt idx="0">
                  <c:v>5</c:v>
                </c:pt>
                <c:pt idx="1">
                  <c:v>6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CE-48D9-90A5-24C370B57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1250527"/>
        <c:axId val="581251007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'Weekly Jumper'!$A$53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ln w="317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'Weekly Jumper'!$B$48:$N$48</c15:sqref>
                        </c15:fullRef>
                        <c15:formulaRef>
                          <c15:sqref>'Weekly Jumper'!$B$48:$H$48</c15:sqref>
                        </c15:formulaRef>
                      </c:ext>
                    </c:extLst>
                    <c:strCache>
                      <c:ptCount val="6"/>
                      <c:pt idx="0">
                        <c:v>wk1 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'Weekly Jumper'!$B$53:$N$53</c15:sqref>
                        </c15:fullRef>
                        <c15:formulaRef>
                          <c15:sqref>'Weekly Jumper'!$B$53:$H$53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0.01</c:v>
                      </c:pt>
                      <c:pt idx="1">
                        <c:v>0.01</c:v>
                      </c:pt>
                      <c:pt idx="2">
                        <c:v>0.3</c:v>
                      </c:pt>
                      <c:pt idx="3">
                        <c:v>0.3</c:v>
                      </c:pt>
                      <c:pt idx="4">
                        <c:v>0.3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96CE-48D9-90A5-24C370B57B6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Jumper'!$A$54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ln w="317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'Weekly Jumper'!$B$48:$N$48</c15:sqref>
                        </c15:fullRef>
                        <c15:formulaRef>
                          <c15:sqref>'Weekly Jumper'!$B$48:$H$48</c15:sqref>
                        </c15:formulaRef>
                      </c:ext>
                    </c:extLst>
                    <c:strCache>
                      <c:ptCount val="6"/>
                      <c:pt idx="0">
                        <c:v>wk1 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'Weekly Jumper'!$B$54:$N$54</c15:sqref>
                        </c15:fullRef>
                        <c15:formulaRef>
                          <c15:sqref>'Weekly Jumper'!$B$54:$H$54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14</c:v>
                      </c:pt>
                      <c:pt idx="1">
                        <c:v>0.01</c:v>
                      </c:pt>
                      <c:pt idx="2">
                        <c:v>2</c:v>
                      </c:pt>
                      <c:pt idx="3">
                        <c:v>5</c:v>
                      </c:pt>
                      <c:pt idx="4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6CE-48D9-90A5-24C370B57B66}"/>
                  </c:ext>
                </c:extLst>
              </c15:ser>
            </c15:filteredLineSeries>
          </c:ext>
        </c:extLst>
      </c:lineChart>
      <c:catAx>
        <c:axId val="58125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581251007"/>
        <c:crosses val="autoZero"/>
        <c:auto val="1"/>
        <c:lblAlgn val="ctr"/>
        <c:lblOffset val="100"/>
        <c:noMultiLvlLbl val="0"/>
      </c:catAx>
      <c:valAx>
        <c:axId val="581251007"/>
        <c:scaling>
          <c:orientation val="minMax"/>
          <c:max val="8"/>
        </c:scaling>
        <c:delete val="1"/>
        <c:axPos val="l"/>
        <c:numFmt formatCode="0" sourceLinked="1"/>
        <c:majorTickMark val="out"/>
        <c:minorTickMark val="none"/>
        <c:tickLblPos val="nextTo"/>
        <c:crossAx val="58125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366595146908934"/>
          <c:y val="0.43648872696253149"/>
          <c:w val="0.20230535492551627"/>
          <c:h val="0.195842345787654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100" b="1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Shortbranches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775947135658942E-2"/>
          <c:y val="0.28932253269957514"/>
          <c:w val="0.92448105728682117"/>
          <c:h val="0.59347301539725406"/>
        </c:manualLayout>
      </c:layout>
      <c:barChart>
        <c:barDir val="col"/>
        <c:grouping val="clustered"/>
        <c:varyColors val="0"/>
        <c:ser>
          <c:idx val="3"/>
          <c:order val="3"/>
          <c:tx>
            <c:strRef>
              <c:f>'Weekly Jumper'!$A$52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1.193062851286315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8C7-40B3-BD9E-1611CFE5007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8C7-40B3-BD9E-1611CFE5007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8C7-40B3-BD9E-1611CFE5007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8C7-40B3-BD9E-1611CFE5007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8C7-40B3-BD9E-1611CFE50079}"/>
                </c:ext>
              </c:extLst>
            </c:dLbl>
            <c:dLbl>
              <c:idx val="5"/>
              <c:layout>
                <c:manualLayout>
                  <c:x val="0"/>
                  <c:y val="-1.651490968795402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AE-40EA-AC4E-F78CBDD44C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'Weekly Jumper'!$B$48:$N$48</c15:sqref>
                  </c15:fullRef>
                </c:ext>
              </c:extLst>
              <c:f>'Weekly Jumper'!$B$48:$H$48</c:f>
              <c:strCache>
                <c:ptCount val="6"/>
                <c:pt idx="0">
                  <c:v>wk1 ('25)</c:v>
                </c:pt>
                <c:pt idx="1">
                  <c:v>wk1('26)</c:v>
                </c:pt>
                <c:pt idx="2">
                  <c:v>wk39</c:v>
                </c:pt>
                <c:pt idx="3">
                  <c:v>wk40</c:v>
                </c:pt>
                <c:pt idx="4">
                  <c:v>wk41</c:v>
                </c:pt>
                <c:pt idx="5">
                  <c:v>wk42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'Weekly Jumper'!$B$52:$G$52</c15:sqref>
                  </c15:fullRef>
                </c:ext>
              </c:extLst>
              <c:f>'Weekly Jumper'!$B$52:$G$52</c:f>
              <c:numCache>
                <c:formatCode>0</c:formatCode>
                <c:ptCount val="6"/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C7-40B3-BD9E-1611CFE500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81250527"/>
        <c:axId val="58125100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'Weekly Jumper'!$A$49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bg2">
                      <a:lumMod val="9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2">
                              <a:lumMod val="50000"/>
                            </a:schemeClr>
                          </a:solidFill>
                          <a:latin typeface="Calibri" panose="020F0502020204030204" pitchFamily="34" charset="0"/>
                          <a:ea typeface="Calibri" panose="020F0502020204030204" pitchFamily="34" charset="0"/>
                          <a:cs typeface="Calibri" panose="020F0502020204030204" pitchFamily="34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'Weekly Jumper'!$B$48:$N$48</c15:sqref>
                        </c15:fullRef>
                        <c15:formulaRef>
                          <c15:sqref>'Weekly Jumper'!$B$48:$H$48</c15:sqref>
                        </c15:formulaRef>
                      </c:ext>
                    </c:extLst>
                    <c:strCache>
                      <c:ptCount val="6"/>
                      <c:pt idx="0">
                        <c:v>wk1 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'Weekly Jumper'!$B$49:$N$49</c15:sqref>
                        </c15:fullRef>
                        <c15:formulaRef>
                          <c15:sqref>'Weekly Jumper'!$B$49:$H$49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1">
                        <c:v>0.1</c:v>
                      </c:pt>
                      <c:pt idx="2">
                        <c:v>0.3</c:v>
                      </c:pt>
                      <c:pt idx="3">
                        <c:v>0.3</c:v>
                      </c:pt>
                      <c:pt idx="4">
                        <c:v>0.3</c:v>
                      </c:pt>
                      <c:pt idx="5">
                        <c:v>0.3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98C7-40B3-BD9E-1611CFE50079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Jumper'!$A$50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'Weekly Jumper'!$B$48:$N$48</c15:sqref>
                        </c15:fullRef>
                        <c15:formulaRef>
                          <c15:sqref>'Weekly Jumper'!$B$48:$H$48</c15:sqref>
                        </c15:formulaRef>
                      </c:ext>
                    </c:extLst>
                    <c:strCache>
                      <c:ptCount val="6"/>
                      <c:pt idx="0">
                        <c:v>wk1 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'Weekly Jumper'!$B$50:$N$50</c15:sqref>
                        </c15:fullRef>
                        <c15:formulaRef>
                          <c15:sqref>'Weekly Jumper'!$B$50:$H$50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14</c:v>
                      </c:pt>
                      <c:pt idx="1">
                        <c:v>0.3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8C7-40B3-BD9E-1611CFE50079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Jumper'!$A$51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bg1">
                      <a:lumMod val="8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2">
                              <a:lumMod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'Weekly Jumper'!$B$48:$N$48</c15:sqref>
                        </c15:fullRef>
                        <c15:formulaRef>
                          <c15:sqref>'Weekly Jumper'!$B$48:$H$48</c15:sqref>
                        </c15:formulaRef>
                      </c:ext>
                    </c:extLst>
                    <c:strCache>
                      <c:ptCount val="6"/>
                      <c:pt idx="0">
                        <c:v>wk1 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'Weekly Jumper'!$B$51:$N$51</c15:sqref>
                        </c15:fullRef>
                        <c15:formulaRef>
                          <c15:sqref>'Weekly Jumper'!$B$51:$H$51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4</c:v>
                      </c:pt>
                      <c:pt idx="1">
                        <c:v>4</c:v>
                      </c:pt>
                      <c:pt idx="2">
                        <c:v>0.3</c:v>
                      </c:pt>
                      <c:pt idx="3">
                        <c:v>0.3</c:v>
                      </c:pt>
                      <c:pt idx="4">
                        <c:v>0.3</c:v>
                      </c:pt>
                      <c:pt idx="5">
                        <c:v>0.3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8C7-40B3-BD9E-1611CFE50079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7"/>
          <c:order val="7"/>
          <c:tx>
            <c:strRef>
              <c:f>'Weekly Jumper'!$A$56</c:f>
              <c:strCache>
                <c:ptCount val="1"/>
                <c:pt idx="0">
                  <c:v>ACTUAL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square"/>
            <c:size val="15"/>
            <c:spPr>
              <a:solidFill>
                <a:schemeClr val="accent5"/>
              </a:solidFill>
              <a:ln w="12700">
                <a:solidFill>
                  <a:schemeClr val="accent5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'Weekly Jumper'!$B$48:$N$48</c15:sqref>
                  </c15:fullRef>
                </c:ext>
              </c:extLst>
              <c:f>'Weekly Jumper'!$B$48:$H$48</c:f>
              <c:strCache>
                <c:ptCount val="6"/>
                <c:pt idx="0">
                  <c:v>wk1 ('25)</c:v>
                </c:pt>
                <c:pt idx="1">
                  <c:v>wk1('26)</c:v>
                </c:pt>
                <c:pt idx="2">
                  <c:v>wk39</c:v>
                </c:pt>
                <c:pt idx="3">
                  <c:v>wk40</c:v>
                </c:pt>
                <c:pt idx="4">
                  <c:v>wk41</c:v>
                </c:pt>
                <c:pt idx="5">
                  <c:v>wk42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'Weekly Jumper'!$B$56:$F$56</c15:sqref>
                  </c15:fullRef>
                </c:ext>
              </c:extLst>
              <c:f>'Weekly Jumper'!$B$56:$F$56</c:f>
              <c:numCache>
                <c:formatCode>0</c:formatCode>
                <c:ptCount val="5"/>
                <c:pt idx="0">
                  <c:v>0.01</c:v>
                </c:pt>
                <c:pt idx="1">
                  <c:v>1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C7-40B3-BD9E-1611CFE50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1250527"/>
        <c:axId val="581251007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'Weekly Jumper'!$A$53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ln w="317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'Weekly Jumper'!$B$48:$N$48</c15:sqref>
                        </c15:fullRef>
                        <c15:formulaRef>
                          <c15:sqref>'Weekly Jumper'!$B$48:$H$48</c15:sqref>
                        </c15:formulaRef>
                      </c:ext>
                    </c:extLst>
                    <c:strCache>
                      <c:ptCount val="6"/>
                      <c:pt idx="0">
                        <c:v>wk1 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'Weekly Jumper'!$B$53:$N$53</c15:sqref>
                        </c15:fullRef>
                        <c15:formulaRef>
                          <c15:sqref>'Weekly Jumper'!$B$53:$H$53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0.01</c:v>
                      </c:pt>
                      <c:pt idx="1">
                        <c:v>0.01</c:v>
                      </c:pt>
                      <c:pt idx="2">
                        <c:v>0.3</c:v>
                      </c:pt>
                      <c:pt idx="3">
                        <c:v>0.3</c:v>
                      </c:pt>
                      <c:pt idx="4">
                        <c:v>0.3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98C7-40B3-BD9E-1611CFE5007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Jumper'!$A$54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ln w="317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'Weekly Jumper'!$B$48:$N$48</c15:sqref>
                        </c15:fullRef>
                        <c15:formulaRef>
                          <c15:sqref>'Weekly Jumper'!$B$48:$H$48</c15:sqref>
                        </c15:formulaRef>
                      </c:ext>
                    </c:extLst>
                    <c:strCache>
                      <c:ptCount val="6"/>
                      <c:pt idx="0">
                        <c:v>wk1 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'Weekly Jumper'!$B$54:$N$54</c15:sqref>
                        </c15:fullRef>
                        <c15:formulaRef>
                          <c15:sqref>'Weekly Jumper'!$B$54:$H$54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14</c:v>
                      </c:pt>
                      <c:pt idx="1">
                        <c:v>0.01</c:v>
                      </c:pt>
                      <c:pt idx="2">
                        <c:v>2</c:v>
                      </c:pt>
                      <c:pt idx="3">
                        <c:v>5</c:v>
                      </c:pt>
                      <c:pt idx="4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8C7-40B3-BD9E-1611CFE5007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Jumper'!$A$55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ln w="317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'Weekly Jumper'!$B$48:$N$48</c15:sqref>
                        </c15:fullRef>
                        <c15:formulaRef>
                          <c15:sqref>'Weekly Jumper'!$B$48:$H$48</c15:sqref>
                        </c15:formulaRef>
                      </c:ext>
                    </c:extLst>
                    <c:strCache>
                      <c:ptCount val="6"/>
                      <c:pt idx="0">
                        <c:v>wk1 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'Weekly Jumper'!$B$55:$N$55</c15:sqref>
                        </c15:fullRef>
                        <c15:formulaRef>
                          <c15:sqref>'Weekly Jumper'!$B$55:$H$55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5</c:v>
                      </c:pt>
                      <c:pt idx="1">
                        <c:v>6</c:v>
                      </c:pt>
                      <c:pt idx="2">
                        <c:v>0.3</c:v>
                      </c:pt>
                      <c:pt idx="3">
                        <c:v>0.3</c:v>
                      </c:pt>
                      <c:pt idx="4">
                        <c:v>0.3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8C7-40B3-BD9E-1611CFE50079}"/>
                  </c:ext>
                </c:extLst>
              </c15:ser>
            </c15:filteredLineSeries>
          </c:ext>
        </c:extLst>
      </c:lineChart>
      <c:catAx>
        <c:axId val="58125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581251007"/>
        <c:crosses val="autoZero"/>
        <c:auto val="1"/>
        <c:lblAlgn val="ctr"/>
        <c:lblOffset val="100"/>
        <c:noMultiLvlLbl val="0"/>
      </c:catAx>
      <c:valAx>
        <c:axId val="581251007"/>
        <c:scaling>
          <c:orientation val="minMax"/>
          <c:max val="15"/>
        </c:scaling>
        <c:delete val="1"/>
        <c:axPos val="l"/>
        <c:numFmt formatCode="0" sourceLinked="1"/>
        <c:majorTickMark val="out"/>
        <c:minorTickMark val="none"/>
        <c:tickLblPos val="nextTo"/>
        <c:crossAx val="58125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709856978907133"/>
          <c:y val="0.43648881176329751"/>
          <c:w val="0.20230535492551627"/>
          <c:h val="0.195842345787654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100" b="1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Forces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775947135658942E-2"/>
          <c:y val="0.28932253269957514"/>
          <c:w val="0.92448105728682117"/>
          <c:h val="0.593473015397254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'Weekly Jumper'!$A$99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007E79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5D3-4051-AC26-AC0F53BD656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4F9-4D2E-B46E-98608D9320A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4F9-4D2E-B46E-98608D9320A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4F9-4D2E-B46E-98608D9320A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B1-446F-8F1C-484E03140B88}"/>
                </c:ext>
              </c:extLst>
            </c:dLbl>
            <c:dLbl>
              <c:idx val="5"/>
              <c:layout>
                <c:manualLayout>
                  <c:x val="0"/>
                  <c:y val="-3.983050567568192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49B-4208-8E03-FEBC79E82F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'Weekly Jumper'!$B$98:$N$98</c:f>
              <c:strCache>
                <c:ptCount val="6"/>
                <c:pt idx="0">
                  <c:v>wk1('25)</c:v>
                </c:pt>
                <c:pt idx="1">
                  <c:v>wk1('26)</c:v>
                </c:pt>
                <c:pt idx="2">
                  <c:v>wk39</c:v>
                </c:pt>
                <c:pt idx="3">
                  <c:v>wk40</c:v>
                </c:pt>
                <c:pt idx="4">
                  <c:v>wk41</c:v>
                </c:pt>
                <c:pt idx="5">
                  <c:v>wk42</c:v>
                </c:pt>
              </c:strCache>
            </c:strRef>
          </c:cat>
          <c:val>
            <c:numRef>
              <c:f>'Weekly Jumper'!$B$99:$G$99</c:f>
              <c:numCache>
                <c:formatCode>0</c:formatCode>
                <c:ptCount val="6"/>
                <c:pt idx="0">
                  <c:v>1</c:v>
                </c:pt>
                <c:pt idx="1">
                  <c:v>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F9-4D2E-B46E-98608D9320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81250527"/>
        <c:axId val="581251007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'Weekly Jumper'!$A$100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'Weekly Jumper'!$B$98:$N$98</c15:sqref>
                        </c15:formulaRef>
                      </c:ext>
                    </c:extLst>
                    <c:strCache>
                      <c:ptCount val="6"/>
                      <c:pt idx="0">
                        <c:v>wk1('25)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'Weekly Jumper'!$B$100:$N$100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8</c:v>
                      </c:pt>
                      <c:pt idx="1">
                        <c:v>0.2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24F9-4D2E-B46E-98608D9320A7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Jumper'!$A$101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Jumper'!$B$98:$N$98</c15:sqref>
                        </c15:formulaRef>
                      </c:ext>
                    </c:extLst>
                    <c:strCache>
                      <c:ptCount val="6"/>
                      <c:pt idx="0">
                        <c:v>wk1('25)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Jumper'!$B$101:$N$101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0.05</c:v>
                      </c:pt>
                      <c:pt idx="1">
                        <c:v>0.1</c:v>
                      </c:pt>
                      <c:pt idx="2">
                        <c:v>0.05</c:v>
                      </c:pt>
                      <c:pt idx="3">
                        <c:v>0.05</c:v>
                      </c:pt>
                      <c:pt idx="4">
                        <c:v>0.05</c:v>
                      </c:pt>
                      <c:pt idx="5">
                        <c:v>0.05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4F9-4D2E-B46E-98608D9320A7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Jumper'!$A$102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Jumper'!$B$98:$N$98</c15:sqref>
                        </c15:formulaRef>
                      </c:ext>
                    </c:extLst>
                    <c:strCache>
                      <c:ptCount val="6"/>
                      <c:pt idx="0">
                        <c:v>wk1('25)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Jumper'!$B$102:$N$102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2</c:v>
                      </c:pt>
                      <c:pt idx="1">
                        <c:v>0.12</c:v>
                      </c:pt>
                      <c:pt idx="2">
                        <c:v>0.12</c:v>
                      </c:pt>
                      <c:pt idx="3">
                        <c:v>0.12</c:v>
                      </c:pt>
                      <c:pt idx="4">
                        <c:v>0.12</c:v>
                      </c:pt>
                      <c:pt idx="5">
                        <c:v>0.12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4F9-4D2E-B46E-98608D9320A7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Jumper'!$A$105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Jumper'!$B$98:$N$98</c15:sqref>
                        </c15:formulaRef>
                      </c:ext>
                    </c:extLst>
                    <c:strCache>
                      <c:ptCount val="6"/>
                      <c:pt idx="0">
                        <c:v>wk1('25)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Jumper'!$B$105:$N$105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0.05</c:v>
                      </c:pt>
                      <c:pt idx="1">
                        <c:v>7</c:v>
                      </c:pt>
                      <c:pt idx="2">
                        <c:v>0.01</c:v>
                      </c:pt>
                      <c:pt idx="3">
                        <c:v>0.01</c:v>
                      </c:pt>
                      <c:pt idx="4">
                        <c:v>0.01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4F9-4D2E-B46E-98608D9320A7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Jumper'!$A$106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Jumper'!$B$98:$N$98</c15:sqref>
                        </c15:formulaRef>
                      </c:ext>
                    </c:extLst>
                    <c:strCache>
                      <c:ptCount val="6"/>
                      <c:pt idx="0">
                        <c:v>wk1('25)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Jumper'!$B$106:$N$106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2</c:v>
                      </c:pt>
                      <c:pt idx="1">
                        <c:v>0.01</c:v>
                      </c:pt>
                      <c:pt idx="2">
                        <c:v>0.01</c:v>
                      </c:pt>
                      <c:pt idx="3">
                        <c:v>0.01</c:v>
                      </c:pt>
                      <c:pt idx="4">
                        <c:v>0.01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4F9-4D2E-B46E-98608D9320A7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4"/>
          <c:order val="4"/>
          <c:tx>
            <c:strRef>
              <c:f>'Weekly Jumper'!$A$103</c:f>
              <c:strCache>
                <c:ptCount val="1"/>
                <c:pt idx="0">
                  <c:v>ACTUAL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square"/>
            <c:size val="15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accent5"/>
                </a:solidFill>
                <a:round/>
              </a:ln>
              <a:effectLst/>
            </c:spPr>
          </c:marker>
          <c:dLbls>
            <c:dLbl>
              <c:idx val="4"/>
              <c:layout>
                <c:manualLayout>
                  <c:x val="-5.5909695129433758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BB1-446F-8F1C-484E03140B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'Weekly Jumper'!$B$98:$N$98</c:f>
              <c:strCache>
                <c:ptCount val="6"/>
                <c:pt idx="0">
                  <c:v>wk1('25)</c:v>
                </c:pt>
                <c:pt idx="1">
                  <c:v>wk1('26)</c:v>
                </c:pt>
                <c:pt idx="2">
                  <c:v>wk39</c:v>
                </c:pt>
                <c:pt idx="3">
                  <c:v>wk40</c:v>
                </c:pt>
                <c:pt idx="4">
                  <c:v>wk41</c:v>
                </c:pt>
                <c:pt idx="5">
                  <c:v>wk42</c:v>
                </c:pt>
              </c:strCache>
            </c:strRef>
          </c:cat>
          <c:val>
            <c:numRef>
              <c:f>'Weekly Jumper'!$B$103:$F$103</c:f>
              <c:numCache>
                <c:formatCode>0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F9-4D2E-B46E-98608D932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1250527"/>
        <c:axId val="581251007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'Weekly Jumper'!$A$104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ln w="317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'Weekly Jumper'!$B$98:$N$98</c15:sqref>
                        </c15:formulaRef>
                      </c:ext>
                    </c:extLst>
                    <c:strCache>
                      <c:ptCount val="6"/>
                      <c:pt idx="0">
                        <c:v>wk1('25)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'Weekly Jumper'!$B$104:$N$104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8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24F9-4D2E-B46E-98608D9320A7}"/>
                  </c:ext>
                </c:extLst>
              </c15:ser>
            </c15:filteredLineSeries>
          </c:ext>
        </c:extLst>
      </c:lineChart>
      <c:catAx>
        <c:axId val="58125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581251007"/>
        <c:crosses val="autoZero"/>
        <c:auto val="1"/>
        <c:lblAlgn val="ctr"/>
        <c:lblOffset val="100"/>
        <c:noMultiLvlLbl val="0"/>
      </c:catAx>
      <c:valAx>
        <c:axId val="581251007"/>
        <c:scaling>
          <c:orientation val="minMax"/>
          <c:max val="6"/>
        </c:scaling>
        <c:delete val="1"/>
        <c:axPos val="l"/>
        <c:numFmt formatCode="0" sourceLinked="1"/>
        <c:majorTickMark val="out"/>
        <c:minorTickMark val="none"/>
        <c:tickLblPos val="nextTo"/>
        <c:crossAx val="58125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50281745686922"/>
          <c:y val="0.37631482436482566"/>
          <c:w val="0.20012325956030294"/>
          <c:h val="0.202050923311457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100" b="1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Forces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775947135658942E-2"/>
          <c:y val="0.28932253269957514"/>
          <c:w val="0.92448105728682117"/>
          <c:h val="0.59347301539725406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'Weekly Jumper'!$A$100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007E79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9DB-4495-8C6E-7DBC239B815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9DB-4495-8C6E-7DBC239B815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9DB-4495-8C6E-7DBC239B815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9DB-4495-8C6E-7DBC239B815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4CA-4FF5-B769-DBBD023759BE}"/>
                </c:ext>
              </c:extLst>
            </c:dLbl>
            <c:dLbl>
              <c:idx val="5"/>
              <c:layout>
                <c:manualLayout>
                  <c:x val="3.4578146611341631E-3"/>
                  <c:y val="-4.92696136210183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33E-45C2-A27B-593E7E5743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'Weekly Jumper'!$B$98:$N$98</c15:sqref>
                  </c15:fullRef>
                </c:ext>
              </c:extLst>
              <c:f>'Weekly Jumper'!$B$98:$H$98</c:f>
              <c:strCache>
                <c:ptCount val="6"/>
                <c:pt idx="0">
                  <c:v>wk1('25)</c:v>
                </c:pt>
                <c:pt idx="1">
                  <c:v>wk1('26)</c:v>
                </c:pt>
                <c:pt idx="2">
                  <c:v>wk39</c:v>
                </c:pt>
                <c:pt idx="3">
                  <c:v>wk40</c:v>
                </c:pt>
                <c:pt idx="4">
                  <c:v>wk41</c:v>
                </c:pt>
                <c:pt idx="5">
                  <c:v>wk42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'Weekly Jumper'!$B$100:$G$100</c15:sqref>
                  </c15:fullRef>
                </c:ext>
              </c:extLst>
              <c:f>'Weekly Jumper'!$B$100:$G$100</c:f>
              <c:numCache>
                <c:formatCode>0</c:formatCode>
                <c:ptCount val="6"/>
                <c:pt idx="0">
                  <c:v>8</c:v>
                </c:pt>
                <c:pt idx="1">
                  <c:v>0.2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DB-4495-8C6E-7DBC239B81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81250527"/>
        <c:axId val="58125100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'Weekly Jumper'!$A$99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rgbClr val="007E79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2">
                              <a:lumMod val="50000"/>
                            </a:schemeClr>
                          </a:solidFill>
                          <a:latin typeface="Calibri" panose="020F0502020204030204" pitchFamily="34" charset="0"/>
                          <a:ea typeface="Calibri" panose="020F0502020204030204" pitchFamily="34" charset="0"/>
                          <a:cs typeface="Calibri" panose="020F0502020204030204" pitchFamily="34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'Weekly Jumper'!$B$98:$N$98</c15:sqref>
                        </c15:fullRef>
                        <c15:formulaRef>
                          <c15:sqref>'Weekly Jumper'!$B$98:$H$98</c15:sqref>
                        </c15:formulaRef>
                      </c:ext>
                    </c:extLst>
                    <c:strCache>
                      <c:ptCount val="6"/>
                      <c:pt idx="0">
                        <c:v>wk1('25)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'Weekly Jumper'!$B$99:$N$99</c15:sqref>
                        </c15:fullRef>
                        <c15:formulaRef>
                          <c15:sqref>'Weekly Jumper'!$B$99:$H$99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1</c:v>
                      </c:pt>
                      <c:pt idx="1">
                        <c:v>1</c:v>
                      </c:pt>
                      <c:pt idx="2">
                        <c:v>0.1</c:v>
                      </c:pt>
                      <c:pt idx="3">
                        <c:v>0.1</c:v>
                      </c:pt>
                      <c:pt idx="4">
                        <c:v>0.1</c:v>
                      </c:pt>
                      <c:pt idx="5">
                        <c:v>0.1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B9DB-4495-8C6E-7DBC239B8153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Jumper'!$A$101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'Weekly Jumper'!$B$98:$N$98</c15:sqref>
                        </c15:fullRef>
                        <c15:formulaRef>
                          <c15:sqref>'Weekly Jumper'!$B$98:$H$98</c15:sqref>
                        </c15:formulaRef>
                      </c:ext>
                    </c:extLst>
                    <c:strCache>
                      <c:ptCount val="6"/>
                      <c:pt idx="0">
                        <c:v>wk1('25)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'Weekly Jumper'!$B$101:$N$101</c15:sqref>
                        </c15:fullRef>
                        <c15:formulaRef>
                          <c15:sqref>'Weekly Jumper'!$B$101:$H$101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0.05</c:v>
                      </c:pt>
                      <c:pt idx="1">
                        <c:v>0.1</c:v>
                      </c:pt>
                      <c:pt idx="2">
                        <c:v>0.05</c:v>
                      </c:pt>
                      <c:pt idx="3">
                        <c:v>0.05</c:v>
                      </c:pt>
                      <c:pt idx="4">
                        <c:v>0.05</c:v>
                      </c:pt>
                      <c:pt idx="5">
                        <c:v>0.05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9DB-4495-8C6E-7DBC239B815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Jumper'!$A$102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'Weekly Jumper'!$B$98:$N$98</c15:sqref>
                        </c15:fullRef>
                        <c15:formulaRef>
                          <c15:sqref>'Weekly Jumper'!$B$98:$H$98</c15:sqref>
                        </c15:formulaRef>
                      </c:ext>
                    </c:extLst>
                    <c:strCache>
                      <c:ptCount val="6"/>
                      <c:pt idx="0">
                        <c:v>wk1('25)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'Weekly Jumper'!$B$102:$N$102</c15:sqref>
                        </c15:fullRef>
                        <c15:formulaRef>
                          <c15:sqref>'Weekly Jumper'!$B$102:$H$102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2</c:v>
                      </c:pt>
                      <c:pt idx="1">
                        <c:v>0.12</c:v>
                      </c:pt>
                      <c:pt idx="2">
                        <c:v>0.12</c:v>
                      </c:pt>
                      <c:pt idx="3">
                        <c:v>0.12</c:v>
                      </c:pt>
                      <c:pt idx="4">
                        <c:v>0.12</c:v>
                      </c:pt>
                      <c:pt idx="5">
                        <c:v>0.12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9DB-4495-8C6E-7DBC239B8153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Jumper'!$A$105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'Weekly Jumper'!$B$98:$N$98</c15:sqref>
                        </c15:fullRef>
                        <c15:formulaRef>
                          <c15:sqref>'Weekly Jumper'!$B$98:$H$98</c15:sqref>
                        </c15:formulaRef>
                      </c:ext>
                    </c:extLst>
                    <c:strCache>
                      <c:ptCount val="6"/>
                      <c:pt idx="0">
                        <c:v>wk1('25)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'Weekly Jumper'!$B$105:$N$105</c15:sqref>
                        </c15:fullRef>
                        <c15:formulaRef>
                          <c15:sqref>'Weekly Jumper'!$B$105:$H$105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0.05</c:v>
                      </c:pt>
                      <c:pt idx="1">
                        <c:v>7</c:v>
                      </c:pt>
                      <c:pt idx="2">
                        <c:v>0.01</c:v>
                      </c:pt>
                      <c:pt idx="3">
                        <c:v>0.01</c:v>
                      </c:pt>
                      <c:pt idx="4">
                        <c:v>0.01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9DB-4495-8C6E-7DBC239B8153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Jumper'!$A$106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'Weekly Jumper'!$B$98:$N$98</c15:sqref>
                        </c15:fullRef>
                        <c15:formulaRef>
                          <c15:sqref>'Weekly Jumper'!$B$98:$H$98</c15:sqref>
                        </c15:formulaRef>
                      </c:ext>
                    </c:extLst>
                    <c:strCache>
                      <c:ptCount val="6"/>
                      <c:pt idx="0">
                        <c:v>wk1('25)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'Weekly Jumper'!$B$106:$N$106</c15:sqref>
                        </c15:fullRef>
                        <c15:formulaRef>
                          <c15:sqref>'Weekly Jumper'!$B$106:$H$106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2</c:v>
                      </c:pt>
                      <c:pt idx="1">
                        <c:v>0.01</c:v>
                      </c:pt>
                      <c:pt idx="2">
                        <c:v>0.01</c:v>
                      </c:pt>
                      <c:pt idx="3">
                        <c:v>0.01</c:v>
                      </c:pt>
                      <c:pt idx="4">
                        <c:v>0.01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9DB-4495-8C6E-7DBC239B8153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5"/>
          <c:order val="5"/>
          <c:tx>
            <c:strRef>
              <c:f>'Weekly Jumper'!$A$104</c:f>
              <c:strCache>
                <c:ptCount val="1"/>
                <c:pt idx="0">
                  <c:v>ACTUAL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square"/>
            <c:size val="15"/>
            <c:spPr>
              <a:solidFill>
                <a:schemeClr val="accent5"/>
              </a:solidFill>
              <a:ln w="12700">
                <a:solidFill>
                  <a:schemeClr val="accent5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'Weekly Jumper'!$B$98:$N$98</c15:sqref>
                  </c15:fullRef>
                </c:ext>
              </c:extLst>
              <c:f>'Weekly Jumper'!$B$98:$H$98</c:f>
              <c:strCache>
                <c:ptCount val="6"/>
                <c:pt idx="0">
                  <c:v>wk1('25)</c:v>
                </c:pt>
                <c:pt idx="1">
                  <c:v>wk1('26)</c:v>
                </c:pt>
                <c:pt idx="2">
                  <c:v>wk39</c:v>
                </c:pt>
                <c:pt idx="3">
                  <c:v>wk40</c:v>
                </c:pt>
                <c:pt idx="4">
                  <c:v>wk41</c:v>
                </c:pt>
                <c:pt idx="5">
                  <c:v>wk42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'Weekly Jumper'!$B$104:$F$104</c15:sqref>
                  </c15:fullRef>
                </c:ext>
              </c:extLst>
              <c:f>'Weekly Jumper'!$B$104:$F$104</c:f>
              <c:numCache>
                <c:formatCode>0</c:formatCode>
                <c:ptCount val="5"/>
                <c:pt idx="0">
                  <c:v>8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DB-4495-8C6E-7DBC239B8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1250527"/>
        <c:axId val="581251007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'Weekly Jumper'!$A$103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ln w="317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'Weekly Jumper'!$B$98:$N$98</c15:sqref>
                        </c15:fullRef>
                        <c15:formulaRef>
                          <c15:sqref>'Weekly Jumper'!$B$98:$H$98</c15:sqref>
                        </c15:formulaRef>
                      </c:ext>
                    </c:extLst>
                    <c:strCache>
                      <c:ptCount val="6"/>
                      <c:pt idx="0">
                        <c:v>wk1('25)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'Weekly Jumper'!$B$103:$N$103</c15:sqref>
                        </c15:fullRef>
                        <c15:formulaRef>
                          <c15:sqref>'Weekly Jumper'!$B$103:$H$103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1</c:v>
                      </c:pt>
                      <c:pt idx="1">
                        <c:v>1</c:v>
                      </c:pt>
                      <c:pt idx="2">
                        <c:v>0.1</c:v>
                      </c:pt>
                      <c:pt idx="3">
                        <c:v>0.1</c:v>
                      </c:pt>
                      <c:pt idx="4">
                        <c:v>0.1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B9DB-4495-8C6E-7DBC239B8153}"/>
                  </c:ext>
                </c:extLst>
              </c15:ser>
            </c15:filteredLineSeries>
          </c:ext>
        </c:extLst>
      </c:lineChart>
      <c:catAx>
        <c:axId val="58125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581251007"/>
        <c:crosses val="autoZero"/>
        <c:auto val="1"/>
        <c:lblAlgn val="ctr"/>
        <c:lblOffset val="100"/>
        <c:noMultiLvlLbl val="0"/>
      </c:catAx>
      <c:valAx>
        <c:axId val="581251007"/>
        <c:scaling>
          <c:orientation val="minMax"/>
          <c:max val="15"/>
        </c:scaling>
        <c:delete val="1"/>
        <c:axPos val="l"/>
        <c:numFmt formatCode="0" sourceLinked="1"/>
        <c:majorTickMark val="out"/>
        <c:minorTickMark val="none"/>
        <c:tickLblPos val="nextTo"/>
        <c:crossAx val="58125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546639657594663"/>
          <c:y val="0.20324197916004982"/>
          <c:w val="0.20378671545724833"/>
          <c:h val="0.2016840411340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100" b="1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Forces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775947135658942E-2"/>
          <c:y val="0.28932253269957514"/>
          <c:w val="0.92448105728682117"/>
          <c:h val="0.59347301539725406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'Weekly Jumper'!$A$101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007E79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18C-41F1-BEE9-4FA77849AAC5}"/>
                </c:ext>
              </c:extLst>
            </c:dLbl>
            <c:dLbl>
              <c:idx val="1"/>
              <c:layout>
                <c:manualLayout>
                  <c:x val="3.0867507216566673E-17"/>
                  <c:y val="1.865880436823709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18C-41F1-BEE9-4FA77849AAC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18C-41F1-BEE9-4FA77849AAC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18C-41F1-BEE9-4FA77849AAC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18C-41F1-BEE9-4FA77849AAC5}"/>
                </c:ext>
              </c:extLst>
            </c:dLbl>
            <c:dLbl>
              <c:idx val="5"/>
              <c:layout>
                <c:manualLayout>
                  <c:x val="0"/>
                  <c:y val="1.143908286298732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C2-411B-9C7C-FFAE1012D4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'Weekly Jumper'!$B$98:$N$98</c15:sqref>
                  </c15:fullRef>
                </c:ext>
              </c:extLst>
              <c:f>'Weekly Jumper'!$B$98:$H$98</c:f>
              <c:strCache>
                <c:ptCount val="6"/>
                <c:pt idx="0">
                  <c:v>wk1('25)</c:v>
                </c:pt>
                <c:pt idx="1">
                  <c:v>wk1('26)</c:v>
                </c:pt>
                <c:pt idx="2">
                  <c:v>wk39</c:v>
                </c:pt>
                <c:pt idx="3">
                  <c:v>wk40</c:v>
                </c:pt>
                <c:pt idx="4">
                  <c:v>wk41</c:v>
                </c:pt>
                <c:pt idx="5">
                  <c:v>wk42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'Weekly Jumper'!$B$101:$G$101</c15:sqref>
                  </c15:fullRef>
                </c:ext>
              </c:extLst>
              <c:f>'Weekly Jumper'!$B$101:$G$101</c:f>
              <c:numCache>
                <c:formatCode>0</c:formatCode>
                <c:ptCount val="6"/>
                <c:pt idx="0">
                  <c:v>0.05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8C-41F1-BEE9-4FA77849AA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81250527"/>
        <c:axId val="58125100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'Weekly Jumper'!$A$99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rgbClr val="007E79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2">
                              <a:lumMod val="50000"/>
                            </a:schemeClr>
                          </a:solidFill>
                          <a:latin typeface="Calibri" panose="020F0502020204030204" pitchFamily="34" charset="0"/>
                          <a:ea typeface="Calibri" panose="020F0502020204030204" pitchFamily="34" charset="0"/>
                          <a:cs typeface="Calibri" panose="020F0502020204030204" pitchFamily="34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'Weekly Jumper'!$B$98:$N$98</c15:sqref>
                        </c15:fullRef>
                        <c15:formulaRef>
                          <c15:sqref>'Weekly Jumper'!$B$98:$H$98</c15:sqref>
                        </c15:formulaRef>
                      </c:ext>
                    </c:extLst>
                    <c:strCache>
                      <c:ptCount val="6"/>
                      <c:pt idx="0">
                        <c:v>wk1('25)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'Weekly Jumper'!$B$99:$N$99</c15:sqref>
                        </c15:fullRef>
                        <c15:formulaRef>
                          <c15:sqref>'Weekly Jumper'!$B$99:$H$99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1</c:v>
                      </c:pt>
                      <c:pt idx="1">
                        <c:v>1</c:v>
                      </c:pt>
                      <c:pt idx="2">
                        <c:v>0.1</c:v>
                      </c:pt>
                      <c:pt idx="3">
                        <c:v>0.1</c:v>
                      </c:pt>
                      <c:pt idx="4">
                        <c:v>0.1</c:v>
                      </c:pt>
                      <c:pt idx="5">
                        <c:v>0.1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518C-41F1-BEE9-4FA77849AAC5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Jumper'!$A$100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'Weekly Jumper'!$B$98:$N$98</c15:sqref>
                        </c15:fullRef>
                        <c15:formulaRef>
                          <c15:sqref>'Weekly Jumper'!$B$98:$H$98</c15:sqref>
                        </c15:formulaRef>
                      </c:ext>
                    </c:extLst>
                    <c:strCache>
                      <c:ptCount val="6"/>
                      <c:pt idx="0">
                        <c:v>wk1('25)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'Weekly Jumper'!$B$100:$N$100</c15:sqref>
                        </c15:fullRef>
                        <c15:formulaRef>
                          <c15:sqref>'Weekly Jumper'!$B$100:$H$100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8</c:v>
                      </c:pt>
                      <c:pt idx="1">
                        <c:v>0.2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18C-41F1-BEE9-4FA77849AAC5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Jumper'!$A$102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'Weekly Jumper'!$B$98:$N$98</c15:sqref>
                        </c15:fullRef>
                        <c15:formulaRef>
                          <c15:sqref>'Weekly Jumper'!$B$98:$H$98</c15:sqref>
                        </c15:formulaRef>
                      </c:ext>
                    </c:extLst>
                    <c:strCache>
                      <c:ptCount val="6"/>
                      <c:pt idx="0">
                        <c:v>wk1('25)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'Weekly Jumper'!$B$102:$N$102</c15:sqref>
                        </c15:fullRef>
                        <c15:formulaRef>
                          <c15:sqref>'Weekly Jumper'!$B$102:$H$102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2</c:v>
                      </c:pt>
                      <c:pt idx="1">
                        <c:v>0.12</c:v>
                      </c:pt>
                      <c:pt idx="2">
                        <c:v>0.12</c:v>
                      </c:pt>
                      <c:pt idx="3">
                        <c:v>0.12</c:v>
                      </c:pt>
                      <c:pt idx="4">
                        <c:v>0.12</c:v>
                      </c:pt>
                      <c:pt idx="5">
                        <c:v>0.12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18C-41F1-BEE9-4FA77849AAC5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Jumper'!$A$106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'Weekly Jumper'!$B$98:$N$98</c15:sqref>
                        </c15:fullRef>
                        <c15:formulaRef>
                          <c15:sqref>'Weekly Jumper'!$B$98:$H$98</c15:sqref>
                        </c15:formulaRef>
                      </c:ext>
                    </c:extLst>
                    <c:strCache>
                      <c:ptCount val="6"/>
                      <c:pt idx="0">
                        <c:v>wk1('25)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'Weekly Jumper'!$B$106:$N$106</c15:sqref>
                        </c15:fullRef>
                        <c15:formulaRef>
                          <c15:sqref>'Weekly Jumper'!$B$106:$H$106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2</c:v>
                      </c:pt>
                      <c:pt idx="1">
                        <c:v>0.01</c:v>
                      </c:pt>
                      <c:pt idx="2">
                        <c:v>0.01</c:v>
                      </c:pt>
                      <c:pt idx="3">
                        <c:v>0.01</c:v>
                      </c:pt>
                      <c:pt idx="4">
                        <c:v>0.01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18C-41F1-BEE9-4FA77849AAC5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6"/>
          <c:order val="6"/>
          <c:tx>
            <c:strRef>
              <c:f>'Weekly Jumper'!$A$105</c:f>
              <c:strCache>
                <c:ptCount val="1"/>
                <c:pt idx="0">
                  <c:v>ACTUAL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square"/>
            <c:size val="14"/>
            <c:spPr>
              <a:solidFill>
                <a:schemeClr val="accent5"/>
              </a:solidFill>
              <a:ln w="12700">
                <a:solidFill>
                  <a:schemeClr val="accent5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'Weekly Jumper'!$B$98:$N$98</c15:sqref>
                  </c15:fullRef>
                </c:ext>
              </c:extLst>
              <c:f>'Weekly Jumper'!$B$98:$H$98</c:f>
              <c:strCache>
                <c:ptCount val="6"/>
                <c:pt idx="0">
                  <c:v>wk1('25)</c:v>
                </c:pt>
                <c:pt idx="1">
                  <c:v>wk1('26)</c:v>
                </c:pt>
                <c:pt idx="2">
                  <c:v>wk39</c:v>
                </c:pt>
                <c:pt idx="3">
                  <c:v>wk40</c:v>
                </c:pt>
                <c:pt idx="4">
                  <c:v>wk41</c:v>
                </c:pt>
                <c:pt idx="5">
                  <c:v>wk42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'Weekly Jumper'!$B$105:$F$105</c15:sqref>
                  </c15:fullRef>
                </c:ext>
              </c:extLst>
              <c:f>'Weekly Jumper'!$B$105:$F$105</c:f>
              <c:numCache>
                <c:formatCode>0</c:formatCode>
                <c:ptCount val="5"/>
                <c:pt idx="0">
                  <c:v>0.05</c:v>
                </c:pt>
                <c:pt idx="1">
                  <c:v>7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8C-41F1-BEE9-4FA77849A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1250527"/>
        <c:axId val="581251007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'Weekly Jumper'!$A$103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ln w="317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'Weekly Jumper'!$B$98:$N$98</c15:sqref>
                        </c15:fullRef>
                        <c15:formulaRef>
                          <c15:sqref>'Weekly Jumper'!$B$98:$H$98</c15:sqref>
                        </c15:formulaRef>
                      </c:ext>
                    </c:extLst>
                    <c:strCache>
                      <c:ptCount val="6"/>
                      <c:pt idx="0">
                        <c:v>wk1('25)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'Weekly Jumper'!$B$103:$N$103</c15:sqref>
                        </c15:fullRef>
                        <c15:formulaRef>
                          <c15:sqref>'Weekly Jumper'!$B$103:$H$103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1</c:v>
                      </c:pt>
                      <c:pt idx="1">
                        <c:v>1</c:v>
                      </c:pt>
                      <c:pt idx="2">
                        <c:v>0.1</c:v>
                      </c:pt>
                      <c:pt idx="3">
                        <c:v>0.1</c:v>
                      </c:pt>
                      <c:pt idx="4">
                        <c:v>0.1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518C-41F1-BEE9-4FA77849AAC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Jumper'!$A$104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ln w="317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'Weekly Jumper'!$B$98:$N$98</c15:sqref>
                        </c15:fullRef>
                        <c15:formulaRef>
                          <c15:sqref>'Weekly Jumper'!$B$98:$H$98</c15:sqref>
                        </c15:formulaRef>
                      </c:ext>
                    </c:extLst>
                    <c:strCache>
                      <c:ptCount val="6"/>
                      <c:pt idx="0">
                        <c:v>wk1('25)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'Weekly Jumper'!$B$104:$N$104</c15:sqref>
                        </c15:fullRef>
                        <c15:formulaRef>
                          <c15:sqref>'Weekly Jumper'!$B$104:$H$104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8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18C-41F1-BEE9-4FA77849AAC5}"/>
                  </c:ext>
                </c:extLst>
              </c15:ser>
            </c15:filteredLineSeries>
          </c:ext>
        </c:extLst>
      </c:lineChart>
      <c:catAx>
        <c:axId val="58125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581251007"/>
        <c:crosses val="autoZero"/>
        <c:auto val="1"/>
        <c:lblAlgn val="ctr"/>
        <c:lblOffset val="100"/>
        <c:noMultiLvlLbl val="0"/>
      </c:catAx>
      <c:valAx>
        <c:axId val="581251007"/>
        <c:scaling>
          <c:orientation val="minMax"/>
          <c:max val="10"/>
        </c:scaling>
        <c:delete val="1"/>
        <c:axPos val="l"/>
        <c:numFmt formatCode="0" sourceLinked="1"/>
        <c:majorTickMark val="out"/>
        <c:minorTickMark val="none"/>
        <c:tickLblPos val="nextTo"/>
        <c:crossAx val="58125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053124900330673"/>
          <c:y val="0.16648265944225993"/>
          <c:w val="0.20230535492551627"/>
          <c:h val="0.202232432264109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100" b="1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Forces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775947135658942E-2"/>
          <c:y val="0.28932253269957514"/>
          <c:w val="0.92448105728682117"/>
          <c:h val="0.59347301539725406"/>
        </c:manualLayout>
      </c:layout>
      <c:barChart>
        <c:barDir val="col"/>
        <c:grouping val="clustered"/>
        <c:varyColors val="0"/>
        <c:ser>
          <c:idx val="3"/>
          <c:order val="3"/>
          <c:tx>
            <c:strRef>
              <c:f>'Weekly Jumper'!$A$102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007E79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77F-497E-8948-67650904E3E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CDD-4868-9B8C-1592C662D6E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DD-4868-9B8C-1592C662D6E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CDD-4868-9B8C-1592C662D6E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CDD-4868-9B8C-1592C662D6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'Weekly Jumper'!$B$98:$N$98</c15:sqref>
                  </c15:fullRef>
                </c:ext>
              </c:extLst>
              <c:f>'Weekly Jumper'!$B$98:$H$98</c:f>
              <c:strCache>
                <c:ptCount val="6"/>
                <c:pt idx="0">
                  <c:v>wk1('25)</c:v>
                </c:pt>
                <c:pt idx="1">
                  <c:v>wk1('26)</c:v>
                </c:pt>
                <c:pt idx="2">
                  <c:v>wk39</c:v>
                </c:pt>
                <c:pt idx="3">
                  <c:v>wk40</c:v>
                </c:pt>
                <c:pt idx="4">
                  <c:v>wk41</c:v>
                </c:pt>
                <c:pt idx="5">
                  <c:v>wk42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'Weekly Jumper'!$B$102:$G$102</c15:sqref>
                  </c15:fullRef>
                </c:ext>
              </c:extLst>
              <c:f>'Weekly Jumper'!$B$102:$G$102</c:f>
              <c:numCache>
                <c:formatCode>0</c:formatCode>
                <c:ptCount val="6"/>
                <c:pt idx="0">
                  <c:v>2</c:v>
                </c:pt>
                <c:pt idx="1">
                  <c:v>0.12</c:v>
                </c:pt>
                <c:pt idx="2">
                  <c:v>0.12</c:v>
                </c:pt>
                <c:pt idx="3">
                  <c:v>0.12</c:v>
                </c:pt>
                <c:pt idx="4">
                  <c:v>0.12</c:v>
                </c:pt>
                <c:pt idx="5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7F-497E-8948-67650904E3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81250527"/>
        <c:axId val="58125100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'Weekly Jumper'!$A$99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rgbClr val="007E79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2">
                              <a:lumMod val="50000"/>
                            </a:schemeClr>
                          </a:solidFill>
                          <a:latin typeface="Calibri" panose="020F0502020204030204" pitchFamily="34" charset="0"/>
                          <a:ea typeface="Calibri" panose="020F0502020204030204" pitchFamily="34" charset="0"/>
                          <a:cs typeface="Calibri" panose="020F0502020204030204" pitchFamily="34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'Weekly Jumper'!$B$98:$N$98</c15:sqref>
                        </c15:fullRef>
                        <c15:formulaRef>
                          <c15:sqref>'Weekly Jumper'!$B$98:$H$98</c15:sqref>
                        </c15:formulaRef>
                      </c:ext>
                    </c:extLst>
                    <c:strCache>
                      <c:ptCount val="6"/>
                      <c:pt idx="0">
                        <c:v>wk1('25)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'Weekly Jumper'!$B$99:$N$99</c15:sqref>
                        </c15:fullRef>
                        <c15:formulaRef>
                          <c15:sqref>'Weekly Jumper'!$B$99:$H$99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1</c:v>
                      </c:pt>
                      <c:pt idx="1">
                        <c:v>1</c:v>
                      </c:pt>
                      <c:pt idx="2">
                        <c:v>0.1</c:v>
                      </c:pt>
                      <c:pt idx="3">
                        <c:v>0.1</c:v>
                      </c:pt>
                      <c:pt idx="4">
                        <c:v>0.1</c:v>
                      </c:pt>
                      <c:pt idx="5">
                        <c:v>0.1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077F-497E-8948-67650904E3E3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Jumper'!$A$100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'Weekly Jumper'!$B$98:$N$98</c15:sqref>
                        </c15:fullRef>
                        <c15:formulaRef>
                          <c15:sqref>'Weekly Jumper'!$B$98:$H$98</c15:sqref>
                        </c15:formulaRef>
                      </c:ext>
                    </c:extLst>
                    <c:strCache>
                      <c:ptCount val="6"/>
                      <c:pt idx="0">
                        <c:v>wk1('25)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'Weekly Jumper'!$B$100:$N$100</c15:sqref>
                        </c15:fullRef>
                        <c15:formulaRef>
                          <c15:sqref>'Weekly Jumper'!$B$100:$H$100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8</c:v>
                      </c:pt>
                      <c:pt idx="1">
                        <c:v>0.2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77F-497E-8948-67650904E3E3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Jumper'!$A$101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rgbClr val="007E79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2">
                              <a:lumMod val="50000"/>
                            </a:schemeClr>
                          </a:solidFill>
                          <a:latin typeface="Calibri" panose="020F0502020204030204" pitchFamily="34" charset="0"/>
                          <a:ea typeface="Calibri" panose="020F0502020204030204" pitchFamily="34" charset="0"/>
                          <a:cs typeface="Calibri" panose="020F0502020204030204" pitchFamily="34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'Weekly Jumper'!$B$98:$N$98</c15:sqref>
                        </c15:fullRef>
                        <c15:formulaRef>
                          <c15:sqref>'Weekly Jumper'!$B$98:$H$98</c15:sqref>
                        </c15:formulaRef>
                      </c:ext>
                    </c:extLst>
                    <c:strCache>
                      <c:ptCount val="6"/>
                      <c:pt idx="0">
                        <c:v>wk1('25)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'Weekly Jumper'!$B$101:$N$101</c15:sqref>
                        </c15:fullRef>
                        <c15:formulaRef>
                          <c15:sqref>'Weekly Jumper'!$B$101:$H$101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0.05</c:v>
                      </c:pt>
                      <c:pt idx="1">
                        <c:v>0.1</c:v>
                      </c:pt>
                      <c:pt idx="2">
                        <c:v>0.05</c:v>
                      </c:pt>
                      <c:pt idx="3">
                        <c:v>0.05</c:v>
                      </c:pt>
                      <c:pt idx="4">
                        <c:v>0.05</c:v>
                      </c:pt>
                      <c:pt idx="5">
                        <c:v>0.05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77F-497E-8948-67650904E3E3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7"/>
          <c:order val="7"/>
          <c:tx>
            <c:strRef>
              <c:f>'Weekly Jumper'!$A$106</c:f>
              <c:strCache>
                <c:ptCount val="1"/>
                <c:pt idx="0">
                  <c:v>ACTUAL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square"/>
            <c:size val="14"/>
            <c:spPr>
              <a:solidFill>
                <a:schemeClr val="accent5"/>
              </a:solidFill>
              <a:ln w="12700">
                <a:solidFill>
                  <a:schemeClr val="accent5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'Weekly Jumper'!$B$98:$N$98</c15:sqref>
                  </c15:fullRef>
                </c:ext>
              </c:extLst>
              <c:f>'Weekly Jumper'!$B$98:$H$98</c:f>
              <c:strCache>
                <c:ptCount val="6"/>
                <c:pt idx="0">
                  <c:v>wk1('25)</c:v>
                </c:pt>
                <c:pt idx="1">
                  <c:v>wk1('26)</c:v>
                </c:pt>
                <c:pt idx="2">
                  <c:v>wk39</c:v>
                </c:pt>
                <c:pt idx="3">
                  <c:v>wk40</c:v>
                </c:pt>
                <c:pt idx="4">
                  <c:v>wk41</c:v>
                </c:pt>
                <c:pt idx="5">
                  <c:v>wk42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'Weekly Jumper'!$B$106:$F$106</c15:sqref>
                  </c15:fullRef>
                </c:ext>
              </c:extLst>
              <c:f>'Weekly Jumper'!$B$106:$F$106</c:f>
              <c:numCache>
                <c:formatCode>0</c:formatCode>
                <c:ptCount val="5"/>
                <c:pt idx="0">
                  <c:v>2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7F-497E-8948-67650904E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1250527"/>
        <c:axId val="581251007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'Weekly Jumper'!$A$103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ln w="317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'Weekly Jumper'!$B$98:$N$98</c15:sqref>
                        </c15:fullRef>
                        <c15:formulaRef>
                          <c15:sqref>'Weekly Jumper'!$B$98:$H$98</c15:sqref>
                        </c15:formulaRef>
                      </c:ext>
                    </c:extLst>
                    <c:strCache>
                      <c:ptCount val="6"/>
                      <c:pt idx="0">
                        <c:v>wk1('25)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'Weekly Jumper'!$B$103:$N$103</c15:sqref>
                        </c15:fullRef>
                        <c15:formulaRef>
                          <c15:sqref>'Weekly Jumper'!$B$103:$H$103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1</c:v>
                      </c:pt>
                      <c:pt idx="1">
                        <c:v>1</c:v>
                      </c:pt>
                      <c:pt idx="2">
                        <c:v>0.1</c:v>
                      </c:pt>
                      <c:pt idx="3">
                        <c:v>0.1</c:v>
                      </c:pt>
                      <c:pt idx="4">
                        <c:v>0.1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077F-497E-8948-67650904E3E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Jumper'!$A$104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ln w="317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'Weekly Jumper'!$B$98:$N$98</c15:sqref>
                        </c15:fullRef>
                        <c15:formulaRef>
                          <c15:sqref>'Weekly Jumper'!$B$98:$H$98</c15:sqref>
                        </c15:formulaRef>
                      </c:ext>
                    </c:extLst>
                    <c:strCache>
                      <c:ptCount val="6"/>
                      <c:pt idx="0">
                        <c:v>wk1('25)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'Weekly Jumper'!$B$104:$N$104</c15:sqref>
                        </c15:fullRef>
                        <c15:formulaRef>
                          <c15:sqref>'Weekly Jumper'!$B$104:$H$104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8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77F-497E-8948-67650904E3E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Jumper'!$A$105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ln w="317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'Weekly Jumper'!$B$98:$N$98</c15:sqref>
                        </c15:fullRef>
                        <c15:formulaRef>
                          <c15:sqref>'Weekly Jumper'!$B$98:$H$98</c15:sqref>
                        </c15:formulaRef>
                      </c:ext>
                    </c:extLst>
                    <c:strCache>
                      <c:ptCount val="6"/>
                      <c:pt idx="0">
                        <c:v>wk1('25)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'Weekly Jumper'!$B$105:$N$105</c15:sqref>
                        </c15:fullRef>
                        <c15:formulaRef>
                          <c15:sqref>'Weekly Jumper'!$B$105:$H$105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0.05</c:v>
                      </c:pt>
                      <c:pt idx="1">
                        <c:v>7</c:v>
                      </c:pt>
                      <c:pt idx="2">
                        <c:v>0.01</c:v>
                      </c:pt>
                      <c:pt idx="3">
                        <c:v>0.01</c:v>
                      </c:pt>
                      <c:pt idx="4">
                        <c:v>0.01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77F-497E-8948-67650904E3E3}"/>
                  </c:ext>
                </c:extLst>
              </c15:ser>
            </c15:filteredLineSeries>
          </c:ext>
        </c:extLst>
      </c:lineChart>
      <c:catAx>
        <c:axId val="58125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581251007"/>
        <c:crosses val="autoZero"/>
        <c:auto val="1"/>
        <c:lblAlgn val="ctr"/>
        <c:lblOffset val="100"/>
        <c:noMultiLvlLbl val="0"/>
      </c:catAx>
      <c:valAx>
        <c:axId val="581251007"/>
        <c:scaling>
          <c:orientation val="minMax"/>
          <c:max val="10"/>
        </c:scaling>
        <c:delete val="1"/>
        <c:axPos val="l"/>
        <c:numFmt formatCode="0" sourceLinked="1"/>
        <c:majorTickMark val="out"/>
        <c:minorTickMark val="none"/>
        <c:tickLblPos val="nextTo"/>
        <c:crossAx val="58125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>
                <a:latin typeface="Vale Sans" panose="020B0503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Count of Remaining Jumper</a:t>
            </a:r>
            <a:r>
              <a:rPr lang="en-US" sz="1000" b="1" baseline="0">
                <a:latin typeface="Vale Sans" panose="020B0503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on PLC PP Area 2026</a:t>
            </a:r>
            <a:endParaRPr lang="en-US" sz="1000" b="1">
              <a:latin typeface="Vale Sans" panose="020B0503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layout>
        <c:manualLayout>
          <c:xMode val="edge"/>
          <c:yMode val="edge"/>
          <c:x val="0.32244066595820048"/>
          <c:y val="3.9682539682539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605629795744199E-3"/>
          <c:y val="0.10382872768280391"/>
          <c:w val="0.98196577048485301"/>
          <c:h val="0.7724559144935780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'Weekly Jumper'!$A$138</c:f>
              <c:strCache>
                <c:ptCount val="1"/>
                <c:pt idx="0">
                  <c:v>AFI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Jumper'!$AF$137:$AI$137</c:f>
              <c:strCache>
                <c:ptCount val="4"/>
                <c:pt idx="0">
                  <c:v>CMS1</c:v>
                </c:pt>
                <c:pt idx="1">
                  <c:v>D3C </c:v>
                </c:pt>
                <c:pt idx="2">
                  <c:v>K2C</c:v>
                </c:pt>
                <c:pt idx="3">
                  <c:v>D12_WEST</c:v>
                </c:pt>
              </c:strCache>
            </c:strRef>
          </c:cat>
          <c:val>
            <c:numRef>
              <c:f>'Weekly Jumper'!$AF$138:$AI$138</c:f>
              <c:numCache>
                <c:formatCode>0</c:formatCode>
                <c:ptCount val="4"/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E4-4CD4-9C48-BB0E1DBFC85E}"/>
            </c:ext>
          </c:extLst>
        </c:ser>
        <c:ser>
          <c:idx val="1"/>
          <c:order val="1"/>
          <c:tx>
            <c:strRef>
              <c:f>'Weekly Jumper'!$A$139</c:f>
              <c:strCache>
                <c:ptCount val="1"/>
                <c:pt idx="0">
                  <c:v>Shortbranches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Jumper'!$AF$137:$AI$137</c:f>
              <c:strCache>
                <c:ptCount val="4"/>
                <c:pt idx="0">
                  <c:v>CMS1</c:v>
                </c:pt>
                <c:pt idx="1">
                  <c:v>D3C </c:v>
                </c:pt>
                <c:pt idx="2">
                  <c:v>K2C</c:v>
                </c:pt>
                <c:pt idx="3">
                  <c:v>D12_WEST</c:v>
                </c:pt>
              </c:strCache>
            </c:strRef>
          </c:cat>
          <c:val>
            <c:numRef>
              <c:f>'Weekly Jumper'!$AF$139:$AI$139</c:f>
              <c:numCache>
                <c:formatCode>0</c:formatCode>
                <c:ptCount val="4"/>
                <c:pt idx="1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E4-4CD4-9C48-BB0E1DBFC85E}"/>
            </c:ext>
          </c:extLst>
        </c:ser>
        <c:ser>
          <c:idx val="2"/>
          <c:order val="2"/>
          <c:tx>
            <c:strRef>
              <c:f>'Weekly Jumper'!$A$140</c:f>
              <c:strCache>
                <c:ptCount val="1"/>
                <c:pt idx="0">
                  <c:v>Forces</c:v>
                </c:pt>
              </c:strCache>
            </c:strRef>
          </c:tx>
          <c:spPr>
            <a:solidFill>
              <a:srgbClr val="007E7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Jumper'!$AF$137:$AI$137</c:f>
              <c:strCache>
                <c:ptCount val="4"/>
                <c:pt idx="0">
                  <c:v>CMS1</c:v>
                </c:pt>
                <c:pt idx="1">
                  <c:v>D3C </c:v>
                </c:pt>
                <c:pt idx="2">
                  <c:v>K2C</c:v>
                </c:pt>
                <c:pt idx="3">
                  <c:v>D12_WEST</c:v>
                </c:pt>
              </c:strCache>
            </c:strRef>
          </c:cat>
          <c:val>
            <c:numRef>
              <c:f>'Weekly Jumper'!$AF$140:$AI$140</c:f>
              <c:numCache>
                <c:formatCode>0</c:formatCode>
                <c:ptCount val="4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E4-4CD4-9C48-BB0E1DBFC85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18991071"/>
        <c:axId val="1118996351"/>
      </c:barChart>
      <c:catAx>
        <c:axId val="111899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ale Sans" panose="020B0503020204030204" pitchFamily="34" charset="0"/>
                <a:ea typeface="+mn-ea"/>
                <a:cs typeface="+mn-cs"/>
              </a:defRPr>
            </a:pPr>
            <a:endParaRPr lang="en-US"/>
          </a:p>
        </c:txPr>
        <c:crossAx val="1118996351"/>
        <c:crosses val="autoZero"/>
        <c:auto val="1"/>
        <c:lblAlgn val="ctr"/>
        <c:lblOffset val="100"/>
        <c:noMultiLvlLbl val="0"/>
      </c:catAx>
      <c:valAx>
        <c:axId val="1118996351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118991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7391642168838762"/>
          <c:y val="0.12161711725197846"/>
          <c:w val="0.26005030656076356"/>
          <c:h val="0.107693132284218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ale Sans" panose="020B0503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100" b="1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Shortbranches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775947135658942E-2"/>
          <c:y val="0.28932253269957514"/>
          <c:w val="0.92448105728682117"/>
          <c:h val="0.593473015397254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'Weekly Jumper'!$A$50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98A-44BB-AFDE-B4CEBAC6854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361-43D8-8636-FD22DC0DE16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361-43D8-8636-FD22DC0DE16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361-43D8-8636-FD22DC0DE16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3.2243019399424942E-2"/>
                      <c:h val="0.1162365938230787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5361-43D8-8636-FD22DC0DE1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'Weekly Jumper'!$B$48:$N$48</c:f>
              <c:strCache>
                <c:ptCount val="6"/>
                <c:pt idx="0">
                  <c:v>wk1 ('25)</c:v>
                </c:pt>
                <c:pt idx="1">
                  <c:v>wk1('26)</c:v>
                </c:pt>
                <c:pt idx="2">
                  <c:v>wk39</c:v>
                </c:pt>
                <c:pt idx="3">
                  <c:v>wk40</c:v>
                </c:pt>
                <c:pt idx="4">
                  <c:v>wk41</c:v>
                </c:pt>
                <c:pt idx="5">
                  <c:v>wk42</c:v>
                </c:pt>
              </c:strCache>
            </c:strRef>
          </c:cat>
          <c:val>
            <c:numRef>
              <c:f>'Weekly Jumper'!$B$50:$G$50</c:f>
              <c:numCache>
                <c:formatCode>0</c:formatCode>
                <c:ptCount val="6"/>
                <c:pt idx="0">
                  <c:v>14</c:v>
                </c:pt>
                <c:pt idx="1">
                  <c:v>0.3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61-43D8-8636-FD22DC0DE1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81250527"/>
        <c:axId val="581251007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'Weekly Jumper'!$A$50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'Weekly Jumper'!$B$48:$N$48</c15:sqref>
                        </c15:formulaRef>
                      </c:ext>
                    </c:extLst>
                    <c:strCache>
                      <c:ptCount val="6"/>
                      <c:pt idx="0">
                        <c:v>wk1 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'Weekly Jumper'!$B$50:$N$50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14</c:v>
                      </c:pt>
                      <c:pt idx="1">
                        <c:v>0.3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5361-43D8-8636-FD22DC0DE16F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Jumper'!$A$51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Jumper'!$B$48:$N$48</c15:sqref>
                        </c15:formulaRef>
                      </c:ext>
                    </c:extLst>
                    <c:strCache>
                      <c:ptCount val="6"/>
                      <c:pt idx="0">
                        <c:v>wk1 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Jumper'!$B$51:$N$51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4</c:v>
                      </c:pt>
                      <c:pt idx="1">
                        <c:v>4</c:v>
                      </c:pt>
                      <c:pt idx="2">
                        <c:v>0.3</c:v>
                      </c:pt>
                      <c:pt idx="3">
                        <c:v>0.3</c:v>
                      </c:pt>
                      <c:pt idx="4">
                        <c:v>0.3</c:v>
                      </c:pt>
                      <c:pt idx="5">
                        <c:v>0.3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361-43D8-8636-FD22DC0DE16F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Jumper'!$A$52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Jumper'!$B$48:$N$48</c15:sqref>
                        </c15:formulaRef>
                      </c:ext>
                    </c:extLst>
                    <c:strCache>
                      <c:ptCount val="6"/>
                      <c:pt idx="0">
                        <c:v>wk1 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Jumper'!$B$52:$N$52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1">
                        <c:v>0.3</c:v>
                      </c:pt>
                      <c:pt idx="2">
                        <c:v>0.3</c:v>
                      </c:pt>
                      <c:pt idx="3">
                        <c:v>0.3</c:v>
                      </c:pt>
                      <c:pt idx="4">
                        <c:v>0.3</c:v>
                      </c:pt>
                      <c:pt idx="5">
                        <c:v>0.3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361-43D8-8636-FD22DC0DE16F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Jumper'!$A$55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Jumper'!$B$48:$N$48</c15:sqref>
                        </c15:formulaRef>
                      </c:ext>
                    </c:extLst>
                    <c:strCache>
                      <c:ptCount val="6"/>
                      <c:pt idx="0">
                        <c:v>wk1 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Jumper'!$B$55:$N$55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5</c:v>
                      </c:pt>
                      <c:pt idx="1">
                        <c:v>6</c:v>
                      </c:pt>
                      <c:pt idx="2">
                        <c:v>0.3</c:v>
                      </c:pt>
                      <c:pt idx="3">
                        <c:v>0.3</c:v>
                      </c:pt>
                      <c:pt idx="4">
                        <c:v>0.3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5361-43D8-8636-FD22DC0DE16F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Jumper'!$A$56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Jumper'!$B$48:$N$48</c15:sqref>
                        </c15:formulaRef>
                      </c:ext>
                    </c:extLst>
                    <c:strCache>
                      <c:ptCount val="6"/>
                      <c:pt idx="0">
                        <c:v>wk1 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'Weekly Jumper'!$B$56:$N$56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0.01</c:v>
                      </c:pt>
                      <c:pt idx="1">
                        <c:v>1</c:v>
                      </c:pt>
                      <c:pt idx="2">
                        <c:v>0.3</c:v>
                      </c:pt>
                      <c:pt idx="3">
                        <c:v>0.3</c:v>
                      </c:pt>
                      <c:pt idx="4">
                        <c:v>0.3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5361-43D8-8636-FD22DC0DE16F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4"/>
          <c:order val="4"/>
          <c:tx>
            <c:strRef>
              <c:f>'Weekly Jumper'!$A$54</c:f>
              <c:strCache>
                <c:ptCount val="1"/>
                <c:pt idx="0">
                  <c:v>ACTUAL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square"/>
            <c:size val="1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accent5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Vale Sans" panose="020B0503020204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'Weekly Jumper'!$B$48:$N$48</c:f>
              <c:strCache>
                <c:ptCount val="6"/>
                <c:pt idx="0">
                  <c:v>wk1 ('25)</c:v>
                </c:pt>
                <c:pt idx="1">
                  <c:v>wk1('26)</c:v>
                </c:pt>
                <c:pt idx="2">
                  <c:v>wk39</c:v>
                </c:pt>
                <c:pt idx="3">
                  <c:v>wk40</c:v>
                </c:pt>
                <c:pt idx="4">
                  <c:v>wk41</c:v>
                </c:pt>
                <c:pt idx="5">
                  <c:v>wk42</c:v>
                </c:pt>
              </c:strCache>
            </c:strRef>
          </c:cat>
          <c:val>
            <c:numRef>
              <c:f>'Weekly Jumper'!$B$54:$F$54</c:f>
              <c:numCache>
                <c:formatCode>0</c:formatCode>
                <c:ptCount val="5"/>
                <c:pt idx="0">
                  <c:v>14</c:v>
                </c:pt>
                <c:pt idx="1">
                  <c:v>0.01</c:v>
                </c:pt>
                <c:pt idx="2">
                  <c:v>2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361-43D8-8636-FD22DC0DE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1250527"/>
        <c:axId val="581251007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'Weekly Jumper'!$A$54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ln w="317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'Weekly Jumper'!$B$48:$N$48</c15:sqref>
                        </c15:formulaRef>
                      </c:ext>
                    </c:extLst>
                    <c:strCache>
                      <c:ptCount val="6"/>
                      <c:pt idx="0">
                        <c:v>wk1 ('25)</c:v>
                      </c:pt>
                      <c:pt idx="1">
                        <c:v>wk1('26)</c:v>
                      </c:pt>
                      <c:pt idx="2">
                        <c:v>wk39</c:v>
                      </c:pt>
                      <c:pt idx="3">
                        <c:v>wk40</c:v>
                      </c:pt>
                      <c:pt idx="4">
                        <c:v>wk41</c:v>
                      </c:pt>
                      <c:pt idx="5">
                        <c:v>wk42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'Weekly Jumper'!$B$54:$N$54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14</c:v>
                      </c:pt>
                      <c:pt idx="1">
                        <c:v>0.01</c:v>
                      </c:pt>
                      <c:pt idx="2">
                        <c:v>2</c:v>
                      </c:pt>
                      <c:pt idx="3">
                        <c:v>5</c:v>
                      </c:pt>
                      <c:pt idx="4">
                        <c:v>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5361-43D8-8636-FD22DC0DE16F}"/>
                  </c:ext>
                </c:extLst>
              </c15:ser>
            </c15:filteredLineSeries>
          </c:ext>
        </c:extLst>
      </c:lineChart>
      <c:catAx>
        <c:axId val="58125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581251007"/>
        <c:crosses val="autoZero"/>
        <c:auto val="1"/>
        <c:lblAlgn val="ctr"/>
        <c:lblOffset val="100"/>
        <c:noMultiLvlLbl val="0"/>
      </c:catAx>
      <c:valAx>
        <c:axId val="581251007"/>
        <c:scaling>
          <c:orientation val="minMax"/>
          <c:max val="40"/>
        </c:scaling>
        <c:delete val="1"/>
        <c:axPos val="l"/>
        <c:numFmt formatCode="0" sourceLinked="1"/>
        <c:majorTickMark val="out"/>
        <c:minorTickMark val="none"/>
        <c:tickLblPos val="nextTo"/>
        <c:crossAx val="58125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029150484950171"/>
          <c:y val="0.15796679440363223"/>
          <c:w val="0.19845831260745198"/>
          <c:h val="0.195100413707844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2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Remaining Jumper</a:t>
            </a:r>
            <a:r>
              <a:rPr lang="en-US" sz="1200" b="1" baseline="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on PLC PP Area 2025</a:t>
            </a:r>
            <a:endParaRPr lang="en-US" sz="12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layout>
        <c:manualLayout>
          <c:xMode val="edge"/>
          <c:yMode val="edge"/>
          <c:x val="0.11934926660538893"/>
          <c:y val="5.276410761154855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900690220863563"/>
          <c:y val="0.12725030464941881"/>
          <c:w val="0.71671548273381025"/>
          <c:h val="0.85236935226846644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'Performance 2024-2025'!$A$138</c:f>
              <c:strCache>
                <c:ptCount val="1"/>
                <c:pt idx="0">
                  <c:v>AFI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'Performance 2024-2025'!$B$137:$S$137</c:f>
              <c:strCache>
                <c:ptCount val="18"/>
                <c:pt idx="0">
                  <c:v>Kiln#1</c:v>
                </c:pt>
                <c:pt idx="1">
                  <c:v>Kiln#2</c:v>
                </c:pt>
                <c:pt idx="2">
                  <c:v>Kiln#3</c:v>
                </c:pt>
                <c:pt idx="3">
                  <c:v>Kiln#4</c:v>
                </c:pt>
                <c:pt idx="4">
                  <c:v>CTS#2</c:v>
                </c:pt>
                <c:pt idx="5">
                  <c:v>K1 BMS</c:v>
                </c:pt>
                <c:pt idx="6">
                  <c:v>K2 BMS</c:v>
                </c:pt>
                <c:pt idx="7">
                  <c:v>K3 BMS</c:v>
                </c:pt>
                <c:pt idx="8">
                  <c:v>OS2 KF</c:v>
                </c:pt>
                <c:pt idx="9">
                  <c:v>D1</c:v>
                </c:pt>
                <c:pt idx="10">
                  <c:v>D1 BMS</c:v>
                </c:pt>
                <c:pt idx="11">
                  <c:v>D2 BMS</c:v>
                </c:pt>
                <c:pt idx="12">
                  <c:v>D3 BMS</c:v>
                </c:pt>
                <c:pt idx="13">
                  <c:v>D3 CC</c:v>
                </c:pt>
                <c:pt idx="14">
                  <c:v>C_C4</c:v>
                </c:pt>
                <c:pt idx="15">
                  <c:v>F_F1_M</c:v>
                </c:pt>
                <c:pt idx="16">
                  <c:v>F_F4_M</c:v>
                </c:pt>
                <c:pt idx="17">
                  <c:v>F_F4_MPC</c:v>
                </c:pt>
              </c:strCache>
            </c:strRef>
          </c:cat>
          <c:val>
            <c:numRef>
              <c:f>'Performance 2024-2025'!$B$138:$S$138</c:f>
              <c:numCache>
                <c:formatCode>0</c:formatCode>
                <c:ptCount val="18"/>
                <c:pt idx="0">
                  <c:v>8</c:v>
                </c:pt>
                <c:pt idx="1">
                  <c:v>6</c:v>
                </c:pt>
                <c:pt idx="2">
                  <c:v>5</c:v>
                </c:pt>
                <c:pt idx="3">
                  <c:v>1</c:v>
                </c:pt>
                <c:pt idx="4">
                  <c:v>1</c:v>
                </c:pt>
                <c:pt idx="5">
                  <c:v>5</c:v>
                </c:pt>
                <c:pt idx="6">
                  <c:v>9</c:v>
                </c:pt>
                <c:pt idx="7">
                  <c:v>3</c:v>
                </c:pt>
                <c:pt idx="8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9D-4FC3-8D1C-6A9E3337B84C}"/>
            </c:ext>
          </c:extLst>
        </c:ser>
        <c:ser>
          <c:idx val="1"/>
          <c:order val="1"/>
          <c:tx>
            <c:strRef>
              <c:f>'Performance 2024-2025'!$A$139</c:f>
              <c:strCache>
                <c:ptCount val="1"/>
                <c:pt idx="0">
                  <c:v>Shortbranches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'Performance 2024-2025'!$B$137:$S$137</c:f>
              <c:strCache>
                <c:ptCount val="18"/>
                <c:pt idx="0">
                  <c:v>Kiln#1</c:v>
                </c:pt>
                <c:pt idx="1">
                  <c:v>Kiln#2</c:v>
                </c:pt>
                <c:pt idx="2">
                  <c:v>Kiln#3</c:v>
                </c:pt>
                <c:pt idx="3">
                  <c:v>Kiln#4</c:v>
                </c:pt>
                <c:pt idx="4">
                  <c:v>CTS#2</c:v>
                </c:pt>
                <c:pt idx="5">
                  <c:v>K1 BMS</c:v>
                </c:pt>
                <c:pt idx="6">
                  <c:v>K2 BMS</c:v>
                </c:pt>
                <c:pt idx="7">
                  <c:v>K3 BMS</c:v>
                </c:pt>
                <c:pt idx="8">
                  <c:v>OS2 KF</c:v>
                </c:pt>
                <c:pt idx="9">
                  <c:v>D1</c:v>
                </c:pt>
                <c:pt idx="10">
                  <c:v>D1 BMS</c:v>
                </c:pt>
                <c:pt idx="11">
                  <c:v>D2 BMS</c:v>
                </c:pt>
                <c:pt idx="12">
                  <c:v>D3 BMS</c:v>
                </c:pt>
                <c:pt idx="13">
                  <c:v>D3 CC</c:v>
                </c:pt>
                <c:pt idx="14">
                  <c:v>C_C4</c:v>
                </c:pt>
                <c:pt idx="15">
                  <c:v>F_F1_M</c:v>
                </c:pt>
                <c:pt idx="16">
                  <c:v>F_F4_M</c:v>
                </c:pt>
                <c:pt idx="17">
                  <c:v>F_F4_MPC</c:v>
                </c:pt>
              </c:strCache>
            </c:strRef>
          </c:cat>
          <c:val>
            <c:numRef>
              <c:f>'Performance 2024-2025'!$B$139:$S$139</c:f>
              <c:numCache>
                <c:formatCode>0</c:formatCode>
                <c:ptCount val="18"/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9D-4FC3-8D1C-6A9E3337B84C}"/>
            </c:ext>
          </c:extLst>
        </c:ser>
        <c:ser>
          <c:idx val="2"/>
          <c:order val="2"/>
          <c:tx>
            <c:strRef>
              <c:f>'Performance 2024-2025'!$A$140</c:f>
              <c:strCache>
                <c:ptCount val="1"/>
                <c:pt idx="0">
                  <c:v>Forces</c:v>
                </c:pt>
              </c:strCache>
            </c:strRef>
          </c:tx>
          <c:spPr>
            <a:solidFill>
              <a:srgbClr val="007E7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'Performance 2024-2025'!$B$137:$S$137</c:f>
              <c:strCache>
                <c:ptCount val="18"/>
                <c:pt idx="0">
                  <c:v>Kiln#1</c:v>
                </c:pt>
                <c:pt idx="1">
                  <c:v>Kiln#2</c:v>
                </c:pt>
                <c:pt idx="2">
                  <c:v>Kiln#3</c:v>
                </c:pt>
                <c:pt idx="3">
                  <c:v>Kiln#4</c:v>
                </c:pt>
                <c:pt idx="4">
                  <c:v>CTS#2</c:v>
                </c:pt>
                <c:pt idx="5">
                  <c:v>K1 BMS</c:v>
                </c:pt>
                <c:pt idx="6">
                  <c:v>K2 BMS</c:v>
                </c:pt>
                <c:pt idx="7">
                  <c:v>K3 BMS</c:v>
                </c:pt>
                <c:pt idx="8">
                  <c:v>OS2 KF</c:v>
                </c:pt>
                <c:pt idx="9">
                  <c:v>D1</c:v>
                </c:pt>
                <c:pt idx="10">
                  <c:v>D1 BMS</c:v>
                </c:pt>
                <c:pt idx="11">
                  <c:v>D2 BMS</c:v>
                </c:pt>
                <c:pt idx="12">
                  <c:v>D3 BMS</c:v>
                </c:pt>
                <c:pt idx="13">
                  <c:v>D3 CC</c:v>
                </c:pt>
                <c:pt idx="14">
                  <c:v>C_C4</c:v>
                </c:pt>
                <c:pt idx="15">
                  <c:v>F_F1_M</c:v>
                </c:pt>
                <c:pt idx="16">
                  <c:v>F_F4_M</c:v>
                </c:pt>
                <c:pt idx="17">
                  <c:v>F_F4_MPC</c:v>
                </c:pt>
              </c:strCache>
            </c:strRef>
          </c:cat>
          <c:val>
            <c:numRef>
              <c:f>'Performance 2024-2025'!$B$140:$S$140</c:f>
              <c:numCache>
                <c:formatCode>0</c:formatCode>
                <c:ptCount val="18"/>
                <c:pt idx="1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9D-4FC3-8D1C-6A9E3337B84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100"/>
        <c:axId val="956775647"/>
        <c:axId val="956768927"/>
      </c:barChart>
      <c:catAx>
        <c:axId val="956775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956768927"/>
        <c:crosses val="autoZero"/>
        <c:auto val="1"/>
        <c:lblAlgn val="ctr"/>
        <c:lblOffset val="100"/>
        <c:noMultiLvlLbl val="0"/>
      </c:catAx>
      <c:valAx>
        <c:axId val="956768927"/>
        <c:scaling>
          <c:orientation val="minMax"/>
          <c:max val="9"/>
        </c:scaling>
        <c:delete val="1"/>
        <c:axPos val="b"/>
        <c:numFmt formatCode="0" sourceLinked="1"/>
        <c:majorTickMark val="out"/>
        <c:minorTickMark val="none"/>
        <c:tickLblPos val="nextTo"/>
        <c:crossAx val="956775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100" b="1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AFI </a:t>
            </a:r>
          </a:p>
          <a:p>
            <a:pPr>
              <a:defRPr sz="120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100" b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2024-2025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775947135658942E-2"/>
          <c:y val="0.28932253269957514"/>
          <c:w val="0.92448105728682117"/>
          <c:h val="0.593473015397254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'Performance 2024-2025'!$A$3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3.1465862634160948E-17"/>
                  <c:y val="-1.134402051559751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CA7-4A01-AC5E-19A4598D3805}"/>
                </c:ext>
              </c:extLst>
            </c:dLbl>
            <c:dLbl>
              <c:idx val="4"/>
              <c:layout>
                <c:manualLayout>
                  <c:x val="-6.2931725268321895E-17"/>
                  <c:y val="2.8078581739896609E-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CA7-4A01-AC5E-19A4598D3805}"/>
                </c:ext>
              </c:extLst>
            </c:dLbl>
            <c:dLbl>
              <c:idx val="7"/>
              <c:layout>
                <c:manualLayout>
                  <c:x val="0"/>
                  <c:y val="2.917861956180595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CA7-4A01-AC5E-19A4598D3805}"/>
                </c:ext>
              </c:extLst>
            </c:dLbl>
            <c:dLbl>
              <c:idx val="8"/>
              <c:layout>
                <c:manualLayout>
                  <c:x val="0"/>
                  <c:y val="3.501434347416727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CA7-4A01-AC5E-19A4598D3805}"/>
                </c:ext>
              </c:extLst>
            </c:dLbl>
            <c:dLbl>
              <c:idx val="9"/>
              <c:layout>
                <c:manualLayout>
                  <c:x val="0"/>
                  <c:y val="2.334289564944484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CA7-4A01-AC5E-19A4598D38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'Performance 2024-2025'!$B$2:$N$2</c:f>
              <c:strCache>
                <c:ptCount val="13"/>
                <c:pt idx="0">
                  <c:v>2024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'Performance 2024-2025'!$B$3:$N$3</c:f>
              <c:numCache>
                <c:formatCode>0</c:formatCode>
                <c:ptCount val="13"/>
                <c:pt idx="0">
                  <c:v>503</c:v>
                </c:pt>
                <c:pt idx="1">
                  <c:v>496</c:v>
                </c:pt>
                <c:pt idx="2">
                  <c:v>432</c:v>
                </c:pt>
                <c:pt idx="3">
                  <c:v>355</c:v>
                </c:pt>
                <c:pt idx="4">
                  <c:v>325</c:v>
                </c:pt>
                <c:pt idx="5">
                  <c:v>149</c:v>
                </c:pt>
                <c:pt idx="6">
                  <c:v>143</c:v>
                </c:pt>
                <c:pt idx="7">
                  <c:v>113</c:v>
                </c:pt>
                <c:pt idx="8">
                  <c:v>97</c:v>
                </c:pt>
                <c:pt idx="9">
                  <c:v>79</c:v>
                </c:pt>
                <c:pt idx="10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A7-4A01-AC5E-19A4598D38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81250527"/>
        <c:axId val="581251007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'Performance 2024-2025'!$A$4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'Performance 2024-2025'!$B$2:$N$2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'Performance 2024-2025'!$B$4:$N$4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306</c:v>
                      </c:pt>
                      <c:pt idx="1">
                        <c:v>200</c:v>
                      </c:pt>
                      <c:pt idx="2">
                        <c:v>149</c:v>
                      </c:pt>
                      <c:pt idx="3">
                        <c:v>149</c:v>
                      </c:pt>
                      <c:pt idx="4">
                        <c:v>149</c:v>
                      </c:pt>
                      <c:pt idx="5">
                        <c:v>112</c:v>
                      </c:pt>
                      <c:pt idx="6">
                        <c:v>80</c:v>
                      </c:pt>
                      <c:pt idx="7">
                        <c:v>57</c:v>
                      </c:pt>
                      <c:pt idx="8">
                        <c:v>19</c:v>
                      </c:pt>
                      <c:pt idx="9">
                        <c:v>12</c:v>
                      </c:pt>
                      <c:pt idx="10">
                        <c:v>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BCA7-4A01-AC5E-19A4598D3805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2024-2025'!$A$5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2024-2025'!$B$2:$N$2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2024-2025'!$B$5:$N$5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7.0000000000000007E-2</c:v>
                      </c:pt>
                      <c:pt idx="1">
                        <c:v>7.0000000000000007E-2</c:v>
                      </c:pt>
                      <c:pt idx="2">
                        <c:v>7.0000000000000007E-2</c:v>
                      </c:pt>
                      <c:pt idx="3">
                        <c:v>7.0000000000000007E-2</c:v>
                      </c:pt>
                      <c:pt idx="4">
                        <c:v>7.0000000000000007E-2</c:v>
                      </c:pt>
                      <c:pt idx="5">
                        <c:v>7.0000000000000007E-2</c:v>
                      </c:pt>
                      <c:pt idx="6">
                        <c:v>7.0000000000000007E-2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7.0000000000000007E-2</c:v>
                      </c:pt>
                      <c:pt idx="10">
                        <c:v>7.0000000000000007E-2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CA7-4A01-AC5E-19A4598D3805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2024-2025'!$A$6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2024-2025'!$B$2:$N$2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2024-2025'!$B$6:$N$6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3</c:v>
                      </c:pt>
                      <c:pt idx="1">
                        <c:v>5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CA7-4A01-AC5E-19A4598D3805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2024-2025'!$A$9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2024-2025'!$B$2:$N$2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2024-2025'!$B$9:$N$9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7.0000000000000007E-2</c:v>
                      </c:pt>
                      <c:pt idx="1">
                        <c:v>7.0000000000000007E-2</c:v>
                      </c:pt>
                      <c:pt idx="2">
                        <c:v>7.0000000000000007E-2</c:v>
                      </c:pt>
                      <c:pt idx="3">
                        <c:v>7.0000000000000007E-2</c:v>
                      </c:pt>
                      <c:pt idx="4">
                        <c:v>7.0000000000000007E-2</c:v>
                      </c:pt>
                      <c:pt idx="5">
                        <c:v>7.0000000000000007E-2</c:v>
                      </c:pt>
                      <c:pt idx="6">
                        <c:v>7.0000000000000007E-2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7.0000000000000007E-2</c:v>
                      </c:pt>
                      <c:pt idx="10">
                        <c:v>7.0000000000000007E-2</c:v>
                      </c:pt>
                      <c:pt idx="11">
                        <c:v>7.0000000000000007E-2</c:v>
                      </c:pt>
                      <c:pt idx="12">
                        <c:v>7.0000000000000007E-2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CA7-4A01-AC5E-19A4598D3805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2024-2025'!$A$10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2024-2025'!$B$2:$N$2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2024-2025'!$B$10:$N$10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5</c:v>
                      </c:pt>
                      <c:pt idx="1">
                        <c:v>5</c:v>
                      </c:pt>
                      <c:pt idx="2">
                        <c:v>3</c:v>
                      </c:pt>
                      <c:pt idx="3">
                        <c:v>7.0000000000000007E-2</c:v>
                      </c:pt>
                      <c:pt idx="4">
                        <c:v>7.0000000000000007E-2</c:v>
                      </c:pt>
                      <c:pt idx="5">
                        <c:v>7.0000000000000007E-2</c:v>
                      </c:pt>
                      <c:pt idx="6">
                        <c:v>7.0000000000000007E-2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7.0000000000000007E-2</c:v>
                      </c:pt>
                      <c:pt idx="10">
                        <c:v>7.0000000000000007E-2</c:v>
                      </c:pt>
                      <c:pt idx="11">
                        <c:v>7.0000000000000007E-2</c:v>
                      </c:pt>
                      <c:pt idx="12">
                        <c:v>7.0000000000000007E-2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CA7-4A01-AC5E-19A4598D3805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4"/>
          <c:order val="4"/>
          <c:tx>
            <c:strRef>
              <c:f>'Performance 2024-2025'!$A$7</c:f>
              <c:strCache>
                <c:ptCount val="1"/>
                <c:pt idx="0">
                  <c:v>PLAN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'Performance 2024-2025'!$B$2:$N$2</c:f>
              <c:strCache>
                <c:ptCount val="13"/>
                <c:pt idx="0">
                  <c:v>2024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'Performance 2024-2025'!$B$7:$N$7</c:f>
              <c:numCache>
                <c:formatCode>0</c:formatCode>
                <c:ptCount val="13"/>
                <c:pt idx="0">
                  <c:v>503</c:v>
                </c:pt>
                <c:pt idx="1">
                  <c:v>496</c:v>
                </c:pt>
                <c:pt idx="2">
                  <c:v>446</c:v>
                </c:pt>
                <c:pt idx="3">
                  <c:v>396</c:v>
                </c:pt>
                <c:pt idx="4">
                  <c:v>346</c:v>
                </c:pt>
                <c:pt idx="5">
                  <c:v>296</c:v>
                </c:pt>
                <c:pt idx="6">
                  <c:v>246</c:v>
                </c:pt>
                <c:pt idx="7">
                  <c:v>196</c:v>
                </c:pt>
                <c:pt idx="8">
                  <c:v>146</c:v>
                </c:pt>
                <c:pt idx="9">
                  <c:v>96</c:v>
                </c:pt>
                <c:pt idx="10">
                  <c:v>46</c:v>
                </c:pt>
                <c:pt idx="11">
                  <c:v>7.0000000000000007E-2</c:v>
                </c:pt>
                <c:pt idx="12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CA7-4A01-AC5E-19A4598D3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1250527"/>
        <c:axId val="581251007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'Performance 2024-2025'!$A$8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ln w="317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'Performance 2024-2025'!$B$2:$N$2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'Performance 2024-2025'!$B$8:$N$8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306</c:v>
                      </c:pt>
                      <c:pt idx="1">
                        <c:v>200</c:v>
                      </c:pt>
                      <c:pt idx="2">
                        <c:v>170</c:v>
                      </c:pt>
                      <c:pt idx="3">
                        <c:v>140</c:v>
                      </c:pt>
                      <c:pt idx="4">
                        <c:v>110</c:v>
                      </c:pt>
                      <c:pt idx="5">
                        <c:v>80</c:v>
                      </c:pt>
                      <c:pt idx="6">
                        <c:v>70</c:v>
                      </c:pt>
                      <c:pt idx="7">
                        <c:v>50</c:v>
                      </c:pt>
                      <c:pt idx="8">
                        <c:v>30</c:v>
                      </c:pt>
                      <c:pt idx="9">
                        <c:v>10</c:v>
                      </c:pt>
                      <c:pt idx="10">
                        <c:v>7.0000000000000007E-2</c:v>
                      </c:pt>
                      <c:pt idx="11">
                        <c:v>7.0000000000000007E-2</c:v>
                      </c:pt>
                      <c:pt idx="12">
                        <c:v>7.0000000000000007E-2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BCA7-4A01-AC5E-19A4598D3805}"/>
                  </c:ext>
                </c:extLst>
              </c15:ser>
            </c15:filteredLineSeries>
          </c:ext>
        </c:extLst>
      </c:lineChart>
      <c:catAx>
        <c:axId val="58125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581251007"/>
        <c:crosses val="autoZero"/>
        <c:auto val="1"/>
        <c:lblAlgn val="ctr"/>
        <c:lblOffset val="100"/>
        <c:noMultiLvlLbl val="0"/>
      </c:catAx>
      <c:valAx>
        <c:axId val="581251007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58125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100" b="1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AFI </a:t>
            </a:r>
          </a:p>
          <a:p>
            <a:pPr>
              <a:defRPr sz="120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100" b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2024-2025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775947135658942E-2"/>
          <c:y val="0.28932253269957514"/>
          <c:w val="0.92448105728682117"/>
          <c:h val="0.59347301539725406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'Performance 2024-2025'!$A$4</c:f>
              <c:strCache>
                <c:ptCount val="1"/>
                <c:pt idx="0">
                  <c:v>ACTUAL</c:v>
                </c:pt>
              </c:strCache>
              <c:extLst xmlns:c15="http://schemas.microsoft.com/office/drawing/2012/chart"/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'Performance 2024-2025'!$B$2:$N$2</c:f>
              <c:strCache>
                <c:ptCount val="13"/>
                <c:pt idx="0">
                  <c:v>2024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  <c:extLst xmlns:c15="http://schemas.microsoft.com/office/drawing/2012/chart"/>
            </c:strRef>
          </c:cat>
          <c:val>
            <c:numRef>
              <c:f>'Performance 2024-2025'!$B$4:$N$4</c:f>
              <c:numCache>
                <c:formatCode>0</c:formatCode>
                <c:ptCount val="13"/>
                <c:pt idx="0">
                  <c:v>306</c:v>
                </c:pt>
                <c:pt idx="1">
                  <c:v>200</c:v>
                </c:pt>
                <c:pt idx="2">
                  <c:v>149</c:v>
                </c:pt>
                <c:pt idx="3">
                  <c:v>149</c:v>
                </c:pt>
                <c:pt idx="4">
                  <c:v>149</c:v>
                </c:pt>
                <c:pt idx="5">
                  <c:v>112</c:v>
                </c:pt>
                <c:pt idx="6">
                  <c:v>80</c:v>
                </c:pt>
                <c:pt idx="7">
                  <c:v>57</c:v>
                </c:pt>
                <c:pt idx="8">
                  <c:v>19</c:v>
                </c:pt>
                <c:pt idx="9">
                  <c:v>12</c:v>
                </c:pt>
                <c:pt idx="10">
                  <c:v>3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7-3FA9-489B-81B4-2EA693725A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81250527"/>
        <c:axId val="58125100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'Performance 2024-2025'!$A$3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rgbClr val="00B0F0"/>
                  </a:solidFill>
                  <a:ln>
                    <a:noFill/>
                  </a:ln>
                  <a:effectLst/>
                </c:spPr>
                <c:invertIfNegative val="0"/>
                <c:dLbls>
                  <c:dLbl>
                    <c:idx val="3"/>
                    <c:layout>
                      <c:manualLayout>
                        <c:x val="-3.1465862634160948E-17"/>
                        <c:y val="-1.1344020515597516E-2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3FA9-489B-81B4-2EA693725A50}"/>
                      </c:ext>
                    </c:extLst>
                  </c:dLbl>
                  <c:dLbl>
                    <c:idx val="4"/>
                    <c:layout>
                      <c:manualLayout>
                        <c:x val="-6.2931725268321895E-17"/>
                        <c:y val="2.8078581739896609E-4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3FA9-489B-81B4-2EA693725A50}"/>
                      </c:ext>
                    </c:extLst>
                  </c:dLbl>
                  <c:dLbl>
                    <c:idx val="7"/>
                    <c:layout>
                      <c:manualLayout>
                        <c:x val="0"/>
                        <c:y val="2.9178619561805952E-2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3FA9-489B-81B4-2EA693725A50}"/>
                      </c:ext>
                    </c:extLst>
                  </c:dLbl>
                  <c:dLbl>
                    <c:idx val="8"/>
                    <c:layout>
                      <c:manualLayout>
                        <c:x val="0"/>
                        <c:y val="3.5014343474167271E-2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3FA9-489B-81B4-2EA693725A50}"/>
                      </c:ext>
                    </c:extLst>
                  </c:dLbl>
                  <c:dLbl>
                    <c:idx val="9"/>
                    <c:layout>
                      <c:manualLayout>
                        <c:x val="0"/>
                        <c:y val="2.3342895649444848E-2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3FA9-489B-81B4-2EA693725A5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2">
                              <a:lumMod val="50000"/>
                            </a:schemeClr>
                          </a:solidFill>
                          <a:latin typeface="Calibri" panose="020F0502020204030204" pitchFamily="34" charset="0"/>
                          <a:ea typeface="Calibri" panose="020F0502020204030204" pitchFamily="34" charset="0"/>
                          <a:cs typeface="Calibri" panose="020F0502020204030204" pitchFamily="34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'Performance 2024-2025'!$B$2:$N$2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'Performance 2024-2025'!$B$3:$N$3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503</c:v>
                      </c:pt>
                      <c:pt idx="1">
                        <c:v>496</c:v>
                      </c:pt>
                      <c:pt idx="2">
                        <c:v>432</c:v>
                      </c:pt>
                      <c:pt idx="3">
                        <c:v>355</c:v>
                      </c:pt>
                      <c:pt idx="4">
                        <c:v>325</c:v>
                      </c:pt>
                      <c:pt idx="5">
                        <c:v>149</c:v>
                      </c:pt>
                      <c:pt idx="6">
                        <c:v>143</c:v>
                      </c:pt>
                      <c:pt idx="7">
                        <c:v>113</c:v>
                      </c:pt>
                      <c:pt idx="8">
                        <c:v>97</c:v>
                      </c:pt>
                      <c:pt idx="9">
                        <c:v>79</c:v>
                      </c:pt>
                      <c:pt idx="10">
                        <c:v>39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3FA9-489B-81B4-2EA693725A50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2024-2025'!$A$5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2024-2025'!$B$2:$N$2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2024-2025'!$B$5:$N$5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7.0000000000000007E-2</c:v>
                      </c:pt>
                      <c:pt idx="1">
                        <c:v>7.0000000000000007E-2</c:v>
                      </c:pt>
                      <c:pt idx="2">
                        <c:v>7.0000000000000007E-2</c:v>
                      </c:pt>
                      <c:pt idx="3">
                        <c:v>7.0000000000000007E-2</c:v>
                      </c:pt>
                      <c:pt idx="4">
                        <c:v>7.0000000000000007E-2</c:v>
                      </c:pt>
                      <c:pt idx="5">
                        <c:v>7.0000000000000007E-2</c:v>
                      </c:pt>
                      <c:pt idx="6">
                        <c:v>7.0000000000000007E-2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7.0000000000000007E-2</c:v>
                      </c:pt>
                      <c:pt idx="10">
                        <c:v>7.0000000000000007E-2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FA9-489B-81B4-2EA693725A5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2024-2025'!$A$6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2024-2025'!$B$2:$N$2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2024-2025'!$B$6:$N$6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3</c:v>
                      </c:pt>
                      <c:pt idx="1">
                        <c:v>5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3FA9-489B-81B4-2EA693725A50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2024-2025'!$A$9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2024-2025'!$B$2:$N$2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2024-2025'!$B$9:$N$9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7.0000000000000007E-2</c:v>
                      </c:pt>
                      <c:pt idx="1">
                        <c:v>7.0000000000000007E-2</c:v>
                      </c:pt>
                      <c:pt idx="2">
                        <c:v>7.0000000000000007E-2</c:v>
                      </c:pt>
                      <c:pt idx="3">
                        <c:v>7.0000000000000007E-2</c:v>
                      </c:pt>
                      <c:pt idx="4">
                        <c:v>7.0000000000000007E-2</c:v>
                      </c:pt>
                      <c:pt idx="5">
                        <c:v>7.0000000000000007E-2</c:v>
                      </c:pt>
                      <c:pt idx="6">
                        <c:v>7.0000000000000007E-2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7.0000000000000007E-2</c:v>
                      </c:pt>
                      <c:pt idx="10">
                        <c:v>7.0000000000000007E-2</c:v>
                      </c:pt>
                      <c:pt idx="11">
                        <c:v>7.0000000000000007E-2</c:v>
                      </c:pt>
                      <c:pt idx="12">
                        <c:v>7.0000000000000007E-2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3FA9-489B-81B4-2EA693725A50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2024-2025'!$A$10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2024-2025'!$B$2:$N$2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2024-2025'!$B$10:$N$10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5</c:v>
                      </c:pt>
                      <c:pt idx="1">
                        <c:v>5</c:v>
                      </c:pt>
                      <c:pt idx="2">
                        <c:v>3</c:v>
                      </c:pt>
                      <c:pt idx="3">
                        <c:v>7.0000000000000007E-2</c:v>
                      </c:pt>
                      <c:pt idx="4">
                        <c:v>7.0000000000000007E-2</c:v>
                      </c:pt>
                      <c:pt idx="5">
                        <c:v>7.0000000000000007E-2</c:v>
                      </c:pt>
                      <c:pt idx="6">
                        <c:v>7.0000000000000007E-2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7.0000000000000007E-2</c:v>
                      </c:pt>
                      <c:pt idx="10">
                        <c:v>7.0000000000000007E-2</c:v>
                      </c:pt>
                      <c:pt idx="11">
                        <c:v>7.0000000000000007E-2</c:v>
                      </c:pt>
                      <c:pt idx="12">
                        <c:v>7.0000000000000007E-2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3FA9-489B-81B4-2EA693725A50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5"/>
          <c:order val="5"/>
          <c:tx>
            <c:strRef>
              <c:f>'Performance 2024-2025'!$A$8</c:f>
              <c:strCache>
                <c:ptCount val="1"/>
                <c:pt idx="0">
                  <c:v>PLAN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'Performance 2024-2025'!$B$2:$N$2</c:f>
              <c:strCache>
                <c:ptCount val="13"/>
                <c:pt idx="0">
                  <c:v>2024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  <c:extLst xmlns:c15="http://schemas.microsoft.com/office/drawing/2012/chart"/>
            </c:strRef>
          </c:cat>
          <c:val>
            <c:numRef>
              <c:f>'Performance 2024-2025'!$B$8:$N$8</c:f>
              <c:numCache>
                <c:formatCode>0</c:formatCode>
                <c:ptCount val="13"/>
                <c:pt idx="0">
                  <c:v>306</c:v>
                </c:pt>
                <c:pt idx="1">
                  <c:v>200</c:v>
                </c:pt>
                <c:pt idx="2">
                  <c:v>170</c:v>
                </c:pt>
                <c:pt idx="3">
                  <c:v>140</c:v>
                </c:pt>
                <c:pt idx="4">
                  <c:v>110</c:v>
                </c:pt>
                <c:pt idx="5">
                  <c:v>80</c:v>
                </c:pt>
                <c:pt idx="6">
                  <c:v>70</c:v>
                </c:pt>
                <c:pt idx="7">
                  <c:v>50</c:v>
                </c:pt>
                <c:pt idx="8">
                  <c:v>30</c:v>
                </c:pt>
                <c:pt idx="9">
                  <c:v>10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7.0000000000000007E-2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A-3FA9-489B-81B4-2EA693725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1250527"/>
        <c:axId val="581251007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'Performance 2024-2025'!$A$7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ln w="317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'Performance 2024-2025'!$B$2:$N$2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'Performance 2024-2025'!$B$7:$N$7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503</c:v>
                      </c:pt>
                      <c:pt idx="1">
                        <c:v>496</c:v>
                      </c:pt>
                      <c:pt idx="2">
                        <c:v>446</c:v>
                      </c:pt>
                      <c:pt idx="3">
                        <c:v>396</c:v>
                      </c:pt>
                      <c:pt idx="4">
                        <c:v>346</c:v>
                      </c:pt>
                      <c:pt idx="5">
                        <c:v>296</c:v>
                      </c:pt>
                      <c:pt idx="6">
                        <c:v>246</c:v>
                      </c:pt>
                      <c:pt idx="7">
                        <c:v>196</c:v>
                      </c:pt>
                      <c:pt idx="8">
                        <c:v>146</c:v>
                      </c:pt>
                      <c:pt idx="9">
                        <c:v>96</c:v>
                      </c:pt>
                      <c:pt idx="10">
                        <c:v>46</c:v>
                      </c:pt>
                      <c:pt idx="11">
                        <c:v>7.0000000000000007E-2</c:v>
                      </c:pt>
                      <c:pt idx="12">
                        <c:v>7.0000000000000007E-2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3FA9-489B-81B4-2EA693725A50}"/>
                  </c:ext>
                </c:extLst>
              </c15:ser>
            </c15:filteredLineSeries>
          </c:ext>
        </c:extLst>
      </c:lineChart>
      <c:catAx>
        <c:axId val="58125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581251007"/>
        <c:crosses val="autoZero"/>
        <c:auto val="1"/>
        <c:lblAlgn val="ctr"/>
        <c:lblOffset val="100"/>
        <c:noMultiLvlLbl val="0"/>
      </c:catAx>
      <c:valAx>
        <c:axId val="581251007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58125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100" b="1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AFI </a:t>
            </a:r>
          </a:p>
          <a:p>
            <a:pPr>
              <a:defRPr sz="120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100" b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2024-2025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775947135658942E-2"/>
          <c:y val="0.28932253269957514"/>
          <c:w val="0.92448105728682117"/>
          <c:h val="0.59347301539725406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'Performance 2024-2025'!$A$5</c:f>
              <c:strCache>
                <c:ptCount val="1"/>
                <c:pt idx="0">
                  <c:v>ACTUAL</c:v>
                </c:pt>
              </c:strCache>
              <c:extLst xmlns:c15="http://schemas.microsoft.com/office/drawing/2012/chart"/>
            </c:strRef>
          </c:tx>
          <c:spPr>
            <a:solidFill>
              <a:srgbClr val="00B0F0"/>
            </a:solidFill>
            <a:ln>
              <a:solidFill>
                <a:srgbClr val="00B0F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'Performance 2024-2025'!$B$2:$N$2</c:f>
              <c:strCache>
                <c:ptCount val="13"/>
                <c:pt idx="0">
                  <c:v>2024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  <c:extLst xmlns:c15="http://schemas.microsoft.com/office/drawing/2012/chart"/>
            </c:strRef>
          </c:cat>
          <c:val>
            <c:numRef>
              <c:f>'Performance 2024-2025'!$B$5:$N$5</c:f>
              <c:numCache>
                <c:formatCode>0</c:formatCode>
                <c:ptCount val="13"/>
                <c:pt idx="0">
                  <c:v>7.0000000000000007E-2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7.0000000000000007E-2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8-E3A2-45E4-93E1-3D1EDC359B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81250527"/>
        <c:axId val="58125100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'Performance 2024-2025'!$A$3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rgbClr val="00B0F0"/>
                  </a:solidFill>
                  <a:ln>
                    <a:noFill/>
                  </a:ln>
                  <a:effectLst/>
                </c:spPr>
                <c:invertIfNegative val="0"/>
                <c:dLbls>
                  <c:dLbl>
                    <c:idx val="3"/>
                    <c:layout>
                      <c:manualLayout>
                        <c:x val="-3.1465862634160948E-17"/>
                        <c:y val="-1.1344020515597516E-2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E3A2-45E4-93E1-3D1EDC359B60}"/>
                      </c:ext>
                    </c:extLst>
                  </c:dLbl>
                  <c:dLbl>
                    <c:idx val="4"/>
                    <c:layout>
                      <c:manualLayout>
                        <c:x val="-6.2931725268321895E-17"/>
                        <c:y val="2.8078581739896609E-4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E3A2-45E4-93E1-3D1EDC359B60}"/>
                      </c:ext>
                    </c:extLst>
                  </c:dLbl>
                  <c:dLbl>
                    <c:idx val="7"/>
                    <c:layout>
                      <c:manualLayout>
                        <c:x val="0"/>
                        <c:y val="2.9178619561805952E-2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E3A2-45E4-93E1-3D1EDC359B60}"/>
                      </c:ext>
                    </c:extLst>
                  </c:dLbl>
                  <c:dLbl>
                    <c:idx val="8"/>
                    <c:layout>
                      <c:manualLayout>
                        <c:x val="0"/>
                        <c:y val="3.5014343474167271E-2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E3A2-45E4-93E1-3D1EDC359B60}"/>
                      </c:ext>
                    </c:extLst>
                  </c:dLbl>
                  <c:dLbl>
                    <c:idx val="9"/>
                    <c:layout>
                      <c:manualLayout>
                        <c:x val="0"/>
                        <c:y val="2.3342895649444848E-2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E3A2-45E4-93E1-3D1EDC359B6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2">
                              <a:lumMod val="50000"/>
                            </a:schemeClr>
                          </a:solidFill>
                          <a:latin typeface="Calibri" panose="020F0502020204030204" pitchFamily="34" charset="0"/>
                          <a:ea typeface="Calibri" panose="020F0502020204030204" pitchFamily="34" charset="0"/>
                          <a:cs typeface="Calibri" panose="020F0502020204030204" pitchFamily="34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'Performance 2024-2025'!$B$2:$N$2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'Performance 2024-2025'!$B$3:$N$3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503</c:v>
                      </c:pt>
                      <c:pt idx="1">
                        <c:v>496</c:v>
                      </c:pt>
                      <c:pt idx="2">
                        <c:v>432</c:v>
                      </c:pt>
                      <c:pt idx="3">
                        <c:v>355</c:v>
                      </c:pt>
                      <c:pt idx="4">
                        <c:v>325</c:v>
                      </c:pt>
                      <c:pt idx="5">
                        <c:v>149</c:v>
                      </c:pt>
                      <c:pt idx="6">
                        <c:v>143</c:v>
                      </c:pt>
                      <c:pt idx="7">
                        <c:v>113</c:v>
                      </c:pt>
                      <c:pt idx="8">
                        <c:v>97</c:v>
                      </c:pt>
                      <c:pt idx="9">
                        <c:v>79</c:v>
                      </c:pt>
                      <c:pt idx="10">
                        <c:v>39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E3A2-45E4-93E1-3D1EDC359B6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2024-2025'!$A$4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2024-2025'!$B$2:$N$2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2024-2025'!$B$4:$N$4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306</c:v>
                      </c:pt>
                      <c:pt idx="1">
                        <c:v>200</c:v>
                      </c:pt>
                      <c:pt idx="2">
                        <c:v>149</c:v>
                      </c:pt>
                      <c:pt idx="3">
                        <c:v>149</c:v>
                      </c:pt>
                      <c:pt idx="4">
                        <c:v>149</c:v>
                      </c:pt>
                      <c:pt idx="5">
                        <c:v>112</c:v>
                      </c:pt>
                      <c:pt idx="6">
                        <c:v>80</c:v>
                      </c:pt>
                      <c:pt idx="7">
                        <c:v>57</c:v>
                      </c:pt>
                      <c:pt idx="8">
                        <c:v>19</c:v>
                      </c:pt>
                      <c:pt idx="9">
                        <c:v>12</c:v>
                      </c:pt>
                      <c:pt idx="10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3A2-45E4-93E1-3D1EDC359B6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2024-2025'!$A$6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2024-2025'!$B$2:$N$2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2024-2025'!$B$6:$N$6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3</c:v>
                      </c:pt>
                      <c:pt idx="1">
                        <c:v>5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3A2-45E4-93E1-3D1EDC359B60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2024-2025'!$A$10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2024-2025'!$B$2:$N$2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2024-2025'!$B$10:$N$10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5</c:v>
                      </c:pt>
                      <c:pt idx="1">
                        <c:v>5</c:v>
                      </c:pt>
                      <c:pt idx="2">
                        <c:v>3</c:v>
                      </c:pt>
                      <c:pt idx="3">
                        <c:v>7.0000000000000007E-2</c:v>
                      </c:pt>
                      <c:pt idx="4">
                        <c:v>7.0000000000000007E-2</c:v>
                      </c:pt>
                      <c:pt idx="5">
                        <c:v>7.0000000000000007E-2</c:v>
                      </c:pt>
                      <c:pt idx="6">
                        <c:v>7.0000000000000007E-2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7.0000000000000007E-2</c:v>
                      </c:pt>
                      <c:pt idx="10">
                        <c:v>7.0000000000000007E-2</c:v>
                      </c:pt>
                      <c:pt idx="11">
                        <c:v>7.0000000000000007E-2</c:v>
                      </c:pt>
                      <c:pt idx="12">
                        <c:v>7.0000000000000007E-2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E3A2-45E4-93E1-3D1EDC359B60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6"/>
          <c:order val="6"/>
          <c:tx>
            <c:strRef>
              <c:f>'Performance 2024-2025'!$A$9</c:f>
              <c:strCache>
                <c:ptCount val="1"/>
                <c:pt idx="0">
                  <c:v>PLAN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'Performance 2024-2025'!$B$2:$N$2</c:f>
              <c:strCache>
                <c:ptCount val="13"/>
                <c:pt idx="0">
                  <c:v>2024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  <c:extLst xmlns:c15="http://schemas.microsoft.com/office/drawing/2012/chart"/>
            </c:strRef>
          </c:cat>
          <c:val>
            <c:numRef>
              <c:f>'Performance 2024-2025'!$B$9:$N$9</c:f>
              <c:numCache>
                <c:formatCode>0</c:formatCode>
                <c:ptCount val="13"/>
                <c:pt idx="0">
                  <c:v>7.0000000000000007E-2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7.0000000000000007E-2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B-E3A2-45E4-93E1-3D1EDC359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1250527"/>
        <c:axId val="581251007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'Performance 2024-2025'!$A$7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ln w="317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'Performance 2024-2025'!$B$2:$N$2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'Performance 2024-2025'!$B$7:$N$7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503</c:v>
                      </c:pt>
                      <c:pt idx="1">
                        <c:v>496</c:v>
                      </c:pt>
                      <c:pt idx="2">
                        <c:v>446</c:v>
                      </c:pt>
                      <c:pt idx="3">
                        <c:v>396</c:v>
                      </c:pt>
                      <c:pt idx="4">
                        <c:v>346</c:v>
                      </c:pt>
                      <c:pt idx="5">
                        <c:v>296</c:v>
                      </c:pt>
                      <c:pt idx="6">
                        <c:v>246</c:v>
                      </c:pt>
                      <c:pt idx="7">
                        <c:v>196</c:v>
                      </c:pt>
                      <c:pt idx="8">
                        <c:v>146</c:v>
                      </c:pt>
                      <c:pt idx="9">
                        <c:v>96</c:v>
                      </c:pt>
                      <c:pt idx="10">
                        <c:v>46</c:v>
                      </c:pt>
                      <c:pt idx="11">
                        <c:v>7.0000000000000007E-2</c:v>
                      </c:pt>
                      <c:pt idx="12">
                        <c:v>7.0000000000000007E-2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E3A2-45E4-93E1-3D1EDC359B6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2024-2025'!$A$8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ln w="317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2024-2025'!$B$2:$N$2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2024-2025'!$B$8:$N$8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306</c:v>
                      </c:pt>
                      <c:pt idx="1">
                        <c:v>200</c:v>
                      </c:pt>
                      <c:pt idx="2">
                        <c:v>170</c:v>
                      </c:pt>
                      <c:pt idx="3">
                        <c:v>140</c:v>
                      </c:pt>
                      <c:pt idx="4">
                        <c:v>110</c:v>
                      </c:pt>
                      <c:pt idx="5">
                        <c:v>80</c:v>
                      </c:pt>
                      <c:pt idx="6">
                        <c:v>70</c:v>
                      </c:pt>
                      <c:pt idx="7">
                        <c:v>50</c:v>
                      </c:pt>
                      <c:pt idx="8">
                        <c:v>30</c:v>
                      </c:pt>
                      <c:pt idx="9">
                        <c:v>10</c:v>
                      </c:pt>
                      <c:pt idx="10">
                        <c:v>7.0000000000000007E-2</c:v>
                      </c:pt>
                      <c:pt idx="11">
                        <c:v>7.0000000000000007E-2</c:v>
                      </c:pt>
                      <c:pt idx="12">
                        <c:v>7.0000000000000007E-2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3A2-45E4-93E1-3D1EDC359B60}"/>
                  </c:ext>
                </c:extLst>
              </c15:ser>
            </c15:filteredLineSeries>
          </c:ext>
        </c:extLst>
      </c:lineChart>
      <c:catAx>
        <c:axId val="58125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581251007"/>
        <c:crosses val="autoZero"/>
        <c:auto val="1"/>
        <c:lblAlgn val="ctr"/>
        <c:lblOffset val="100"/>
        <c:noMultiLvlLbl val="0"/>
      </c:catAx>
      <c:valAx>
        <c:axId val="581251007"/>
        <c:scaling>
          <c:orientation val="minMax"/>
          <c:max val="5"/>
        </c:scaling>
        <c:delete val="1"/>
        <c:axPos val="l"/>
        <c:numFmt formatCode="0" sourceLinked="1"/>
        <c:majorTickMark val="out"/>
        <c:minorTickMark val="none"/>
        <c:tickLblPos val="nextTo"/>
        <c:crossAx val="58125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100" b="1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AFI </a:t>
            </a:r>
          </a:p>
          <a:p>
            <a:pPr>
              <a:defRPr sz="120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100" b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2024-2025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775947135658942E-2"/>
          <c:y val="0.28932253269957514"/>
          <c:w val="0.92448105728682117"/>
          <c:h val="0.59347301539725406"/>
        </c:manualLayout>
      </c:layout>
      <c:barChart>
        <c:barDir val="col"/>
        <c:grouping val="clustered"/>
        <c:varyColors val="0"/>
        <c:ser>
          <c:idx val="3"/>
          <c:order val="3"/>
          <c:tx>
            <c:strRef>
              <c:f>'Performance 2024-2025'!$A$6</c:f>
              <c:strCache>
                <c:ptCount val="1"/>
                <c:pt idx="0">
                  <c:v>ACTUAL</c:v>
                </c:pt>
              </c:strCache>
              <c:extLst xmlns:c15="http://schemas.microsoft.com/office/drawing/2012/chart"/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'Performance 2024-2025'!$B$2:$N$2</c:f>
              <c:strCache>
                <c:ptCount val="13"/>
                <c:pt idx="0">
                  <c:v>2024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  <c:extLst xmlns:c15="http://schemas.microsoft.com/office/drawing/2012/chart"/>
            </c:strRef>
          </c:cat>
          <c:val>
            <c:numRef>
              <c:f>'Performance 2024-2025'!$B$6:$N$6</c:f>
              <c:numCache>
                <c:formatCode>0</c:formatCode>
                <c:ptCount val="13"/>
                <c:pt idx="0">
                  <c:v>3</c:v>
                </c:pt>
                <c:pt idx="1">
                  <c:v>5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9-BF19-45BD-A1A2-64B9AA2FAE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81250527"/>
        <c:axId val="58125100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'Performance 2024-2025'!$A$3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rgbClr val="00B0F0"/>
                  </a:solidFill>
                  <a:ln>
                    <a:noFill/>
                  </a:ln>
                  <a:effectLst/>
                </c:spPr>
                <c:invertIfNegative val="0"/>
                <c:dLbls>
                  <c:dLbl>
                    <c:idx val="3"/>
                    <c:layout>
                      <c:manualLayout>
                        <c:x val="-3.1465862634160948E-17"/>
                        <c:y val="-1.1344020515597516E-2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BF19-45BD-A1A2-64B9AA2FAE59}"/>
                      </c:ext>
                    </c:extLst>
                  </c:dLbl>
                  <c:dLbl>
                    <c:idx val="4"/>
                    <c:layout>
                      <c:manualLayout>
                        <c:x val="-6.2931725268321895E-17"/>
                        <c:y val="2.8078581739896609E-4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BF19-45BD-A1A2-64B9AA2FAE59}"/>
                      </c:ext>
                    </c:extLst>
                  </c:dLbl>
                  <c:dLbl>
                    <c:idx val="7"/>
                    <c:layout>
                      <c:manualLayout>
                        <c:x val="0"/>
                        <c:y val="2.9178619561805952E-2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BF19-45BD-A1A2-64B9AA2FAE59}"/>
                      </c:ext>
                    </c:extLst>
                  </c:dLbl>
                  <c:dLbl>
                    <c:idx val="8"/>
                    <c:layout>
                      <c:manualLayout>
                        <c:x val="0"/>
                        <c:y val="3.5014343474167271E-2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5-BF19-45BD-A1A2-64B9AA2FAE59}"/>
                      </c:ext>
                    </c:extLst>
                  </c:dLbl>
                  <c:dLbl>
                    <c:idx val="9"/>
                    <c:layout>
                      <c:manualLayout>
                        <c:x val="0"/>
                        <c:y val="2.3342895649444848E-2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6-BF19-45BD-A1A2-64B9AA2FAE5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2">
                              <a:lumMod val="50000"/>
                            </a:schemeClr>
                          </a:solidFill>
                          <a:latin typeface="Calibri" panose="020F0502020204030204" pitchFamily="34" charset="0"/>
                          <a:ea typeface="Calibri" panose="020F0502020204030204" pitchFamily="34" charset="0"/>
                          <a:cs typeface="Calibri" panose="020F0502020204030204" pitchFamily="34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'Performance 2024-2025'!$B$2:$N$2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'Performance 2024-2025'!$B$3:$N$3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503</c:v>
                      </c:pt>
                      <c:pt idx="1">
                        <c:v>496</c:v>
                      </c:pt>
                      <c:pt idx="2">
                        <c:v>432</c:v>
                      </c:pt>
                      <c:pt idx="3">
                        <c:v>355</c:v>
                      </c:pt>
                      <c:pt idx="4">
                        <c:v>325</c:v>
                      </c:pt>
                      <c:pt idx="5">
                        <c:v>149</c:v>
                      </c:pt>
                      <c:pt idx="6">
                        <c:v>143</c:v>
                      </c:pt>
                      <c:pt idx="7">
                        <c:v>113</c:v>
                      </c:pt>
                      <c:pt idx="8">
                        <c:v>97</c:v>
                      </c:pt>
                      <c:pt idx="9">
                        <c:v>79</c:v>
                      </c:pt>
                      <c:pt idx="10">
                        <c:v>39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BF19-45BD-A1A2-64B9AA2FAE59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2024-2025'!$A$4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2024-2025'!$B$2:$N$2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2024-2025'!$B$4:$N$4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306</c:v>
                      </c:pt>
                      <c:pt idx="1">
                        <c:v>200</c:v>
                      </c:pt>
                      <c:pt idx="2">
                        <c:v>149</c:v>
                      </c:pt>
                      <c:pt idx="3">
                        <c:v>149</c:v>
                      </c:pt>
                      <c:pt idx="4">
                        <c:v>149</c:v>
                      </c:pt>
                      <c:pt idx="5">
                        <c:v>112</c:v>
                      </c:pt>
                      <c:pt idx="6">
                        <c:v>80</c:v>
                      </c:pt>
                      <c:pt idx="7">
                        <c:v>57</c:v>
                      </c:pt>
                      <c:pt idx="8">
                        <c:v>19</c:v>
                      </c:pt>
                      <c:pt idx="9">
                        <c:v>12</c:v>
                      </c:pt>
                      <c:pt idx="10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F19-45BD-A1A2-64B9AA2FAE59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2024-2025'!$A$5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rgbClr val="00B0F0"/>
                  </a:solidFill>
                  <a:ln>
                    <a:solidFill>
                      <a:srgbClr val="00B0F0"/>
                    </a:solidFill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2">
                              <a:lumMod val="50000"/>
                            </a:schemeClr>
                          </a:solidFill>
                          <a:latin typeface="Calibri" panose="020F0502020204030204" pitchFamily="34" charset="0"/>
                          <a:ea typeface="Calibri" panose="020F0502020204030204" pitchFamily="34" charset="0"/>
                          <a:cs typeface="Calibri" panose="020F0502020204030204" pitchFamily="34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2024-2025'!$B$2:$N$2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2024-2025'!$B$5:$N$5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7.0000000000000007E-2</c:v>
                      </c:pt>
                      <c:pt idx="1">
                        <c:v>7.0000000000000007E-2</c:v>
                      </c:pt>
                      <c:pt idx="2">
                        <c:v>7.0000000000000007E-2</c:v>
                      </c:pt>
                      <c:pt idx="3">
                        <c:v>7.0000000000000007E-2</c:v>
                      </c:pt>
                      <c:pt idx="4">
                        <c:v>7.0000000000000007E-2</c:v>
                      </c:pt>
                      <c:pt idx="5">
                        <c:v>7.0000000000000007E-2</c:v>
                      </c:pt>
                      <c:pt idx="6">
                        <c:v>7.0000000000000007E-2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7.0000000000000007E-2</c:v>
                      </c:pt>
                      <c:pt idx="10">
                        <c:v>7.0000000000000007E-2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BF19-45BD-A1A2-64B9AA2FAE59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7"/>
          <c:order val="7"/>
          <c:tx>
            <c:strRef>
              <c:f>'Performance 2024-2025'!$A$10</c:f>
              <c:strCache>
                <c:ptCount val="1"/>
                <c:pt idx="0">
                  <c:v>PLAN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'Performance 2024-2025'!$B$2:$N$2</c:f>
              <c:strCache>
                <c:ptCount val="13"/>
                <c:pt idx="0">
                  <c:v>2024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  <c:extLst xmlns:c15="http://schemas.microsoft.com/office/drawing/2012/chart"/>
            </c:strRef>
          </c:cat>
          <c:val>
            <c:numRef>
              <c:f>'Performance 2024-2025'!$B$10:$N$10</c:f>
              <c:numCache>
                <c:formatCode>0</c:formatCode>
                <c:ptCount val="13"/>
                <c:pt idx="0">
                  <c:v>5</c:v>
                </c:pt>
                <c:pt idx="1">
                  <c:v>5</c:v>
                </c:pt>
                <c:pt idx="2">
                  <c:v>3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7.0000000000000007E-2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C-BF19-45BD-A1A2-64B9AA2FA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1250527"/>
        <c:axId val="581251007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'Performance 2024-2025'!$A$7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ln w="317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'Performance 2024-2025'!$B$2:$N$2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'Performance 2024-2025'!$B$7:$N$7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503</c:v>
                      </c:pt>
                      <c:pt idx="1">
                        <c:v>496</c:v>
                      </c:pt>
                      <c:pt idx="2">
                        <c:v>446</c:v>
                      </c:pt>
                      <c:pt idx="3">
                        <c:v>396</c:v>
                      </c:pt>
                      <c:pt idx="4">
                        <c:v>346</c:v>
                      </c:pt>
                      <c:pt idx="5">
                        <c:v>296</c:v>
                      </c:pt>
                      <c:pt idx="6">
                        <c:v>246</c:v>
                      </c:pt>
                      <c:pt idx="7">
                        <c:v>196</c:v>
                      </c:pt>
                      <c:pt idx="8">
                        <c:v>146</c:v>
                      </c:pt>
                      <c:pt idx="9">
                        <c:v>96</c:v>
                      </c:pt>
                      <c:pt idx="10">
                        <c:v>46</c:v>
                      </c:pt>
                      <c:pt idx="11">
                        <c:v>7.0000000000000007E-2</c:v>
                      </c:pt>
                      <c:pt idx="12">
                        <c:v>7.0000000000000007E-2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A-BF19-45BD-A1A2-64B9AA2FAE5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2024-2025'!$A$8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ln w="317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2024-2025'!$B$2:$N$2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2024-2025'!$B$8:$N$8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306</c:v>
                      </c:pt>
                      <c:pt idx="1">
                        <c:v>200</c:v>
                      </c:pt>
                      <c:pt idx="2">
                        <c:v>170</c:v>
                      </c:pt>
                      <c:pt idx="3">
                        <c:v>140</c:v>
                      </c:pt>
                      <c:pt idx="4">
                        <c:v>110</c:v>
                      </c:pt>
                      <c:pt idx="5">
                        <c:v>80</c:v>
                      </c:pt>
                      <c:pt idx="6">
                        <c:v>70</c:v>
                      </c:pt>
                      <c:pt idx="7">
                        <c:v>50</c:v>
                      </c:pt>
                      <c:pt idx="8">
                        <c:v>30</c:v>
                      </c:pt>
                      <c:pt idx="9">
                        <c:v>10</c:v>
                      </c:pt>
                      <c:pt idx="10">
                        <c:v>7.0000000000000007E-2</c:v>
                      </c:pt>
                      <c:pt idx="11">
                        <c:v>7.0000000000000007E-2</c:v>
                      </c:pt>
                      <c:pt idx="12">
                        <c:v>7.0000000000000007E-2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BF19-45BD-A1A2-64B9AA2FAE5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2024-2025'!$A$9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ln w="317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2024-2025'!$B$2:$N$2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2024-2025'!$B$9:$N$9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7.0000000000000007E-2</c:v>
                      </c:pt>
                      <c:pt idx="1">
                        <c:v>7.0000000000000007E-2</c:v>
                      </c:pt>
                      <c:pt idx="2">
                        <c:v>7.0000000000000007E-2</c:v>
                      </c:pt>
                      <c:pt idx="3">
                        <c:v>7.0000000000000007E-2</c:v>
                      </c:pt>
                      <c:pt idx="4">
                        <c:v>7.0000000000000007E-2</c:v>
                      </c:pt>
                      <c:pt idx="5">
                        <c:v>7.0000000000000007E-2</c:v>
                      </c:pt>
                      <c:pt idx="6">
                        <c:v>7.0000000000000007E-2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7.0000000000000007E-2</c:v>
                      </c:pt>
                      <c:pt idx="10">
                        <c:v>7.0000000000000007E-2</c:v>
                      </c:pt>
                      <c:pt idx="11">
                        <c:v>7.0000000000000007E-2</c:v>
                      </c:pt>
                      <c:pt idx="12">
                        <c:v>7.0000000000000007E-2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F19-45BD-A1A2-64B9AA2FAE59}"/>
                  </c:ext>
                </c:extLst>
              </c15:ser>
            </c15:filteredLineSeries>
          </c:ext>
        </c:extLst>
      </c:lineChart>
      <c:catAx>
        <c:axId val="58125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581251007"/>
        <c:crosses val="autoZero"/>
        <c:auto val="1"/>
        <c:lblAlgn val="ctr"/>
        <c:lblOffset val="100"/>
        <c:noMultiLvlLbl val="0"/>
      </c:catAx>
      <c:valAx>
        <c:axId val="581251007"/>
        <c:scaling>
          <c:orientation val="minMax"/>
          <c:max val="10"/>
        </c:scaling>
        <c:delete val="1"/>
        <c:axPos val="l"/>
        <c:numFmt formatCode="0" sourceLinked="1"/>
        <c:majorTickMark val="out"/>
        <c:minorTickMark val="none"/>
        <c:tickLblPos val="nextTo"/>
        <c:crossAx val="58125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100" b="1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Shortbranches</a:t>
            </a:r>
          </a:p>
          <a:p>
            <a:pPr>
              <a:defRPr sz="120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100" b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2024-2025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775947135658942E-2"/>
          <c:y val="0.28932253269957514"/>
          <c:w val="0.92448105728682117"/>
          <c:h val="0.593473015397254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'Performance 2024-2025'!$A$49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'Performance 2024-2025'!$B$48:$N$48</c:f>
              <c:strCache>
                <c:ptCount val="13"/>
                <c:pt idx="0">
                  <c:v>2024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'Performance 2024-2025'!$B$49:$N$49</c:f>
              <c:numCache>
                <c:formatCode>0</c:formatCode>
                <c:ptCount val="13"/>
                <c:pt idx="0">
                  <c:v>7.0000000000000007E-2</c:v>
                </c:pt>
                <c:pt idx="1">
                  <c:v>7.0000000000000007E-2</c:v>
                </c:pt>
                <c:pt idx="2">
                  <c:v>1</c:v>
                </c:pt>
                <c:pt idx="3">
                  <c:v>1</c:v>
                </c:pt>
                <c:pt idx="4">
                  <c:v>7.0000000000000007E-2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E9F-4F3A-B2C5-695D1BEA64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81250527"/>
        <c:axId val="581251007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'Performance 2024-2025'!$A$50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'Performance 2024-2025'!$B$48:$N$48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'Performance 2024-2025'!$B$50:$N$50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14</c:v>
                      </c:pt>
                      <c:pt idx="1">
                        <c:v>14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4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6E9F-4F3A-B2C5-695D1BEA6447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2024-2025'!$A$51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2024-2025'!$B$48:$N$48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2024-2025'!$B$51:$N$51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1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2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6E9F-4F3A-B2C5-695D1BEA6447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2024-2025'!$A$52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2024-2025'!$B$48:$N$48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2024-2025'!$B$52:$N$52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7.0000000000000007E-2</c:v>
                      </c:pt>
                      <c:pt idx="1">
                        <c:v>7.0000000000000007E-2</c:v>
                      </c:pt>
                      <c:pt idx="2">
                        <c:v>7.0000000000000007E-2</c:v>
                      </c:pt>
                      <c:pt idx="3">
                        <c:v>7.0000000000000007E-2</c:v>
                      </c:pt>
                      <c:pt idx="4">
                        <c:v>7.0000000000000007E-2</c:v>
                      </c:pt>
                      <c:pt idx="5">
                        <c:v>7.0000000000000007E-2</c:v>
                      </c:pt>
                      <c:pt idx="6">
                        <c:v>7.0000000000000007E-2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7.0000000000000007E-2</c:v>
                      </c:pt>
                      <c:pt idx="10">
                        <c:v>7.0000000000000007E-2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6E9F-4F3A-B2C5-695D1BEA6447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2024-2025'!$A$55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2024-2025'!$B$48:$N$48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2024-2025'!$B$55:$N$55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1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3</c:v>
                      </c:pt>
                      <c:pt idx="4">
                        <c:v>1</c:v>
                      </c:pt>
                      <c:pt idx="5">
                        <c:v>0.26</c:v>
                      </c:pt>
                      <c:pt idx="6">
                        <c:v>0.26</c:v>
                      </c:pt>
                      <c:pt idx="7">
                        <c:v>0.26</c:v>
                      </c:pt>
                      <c:pt idx="8">
                        <c:v>0.26</c:v>
                      </c:pt>
                      <c:pt idx="9">
                        <c:v>0.26</c:v>
                      </c:pt>
                      <c:pt idx="10">
                        <c:v>0.26</c:v>
                      </c:pt>
                      <c:pt idx="11">
                        <c:v>0.26</c:v>
                      </c:pt>
                      <c:pt idx="12">
                        <c:v>0.26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6E9F-4F3A-B2C5-695D1BEA6447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2024-2025'!$A$56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2024-2025'!$B$48:$N$48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2024-2025'!$B$56:$N$56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7.0000000000000007E-2</c:v>
                      </c:pt>
                      <c:pt idx="1">
                        <c:v>0.08</c:v>
                      </c:pt>
                      <c:pt idx="2">
                        <c:v>0.08</c:v>
                      </c:pt>
                      <c:pt idx="3">
                        <c:v>0.08</c:v>
                      </c:pt>
                      <c:pt idx="4">
                        <c:v>0.08</c:v>
                      </c:pt>
                      <c:pt idx="5">
                        <c:v>0.08</c:v>
                      </c:pt>
                      <c:pt idx="6">
                        <c:v>0.08</c:v>
                      </c:pt>
                      <c:pt idx="7">
                        <c:v>0.08</c:v>
                      </c:pt>
                      <c:pt idx="8">
                        <c:v>0.08</c:v>
                      </c:pt>
                      <c:pt idx="9">
                        <c:v>0.08</c:v>
                      </c:pt>
                      <c:pt idx="10">
                        <c:v>0.08</c:v>
                      </c:pt>
                      <c:pt idx="11">
                        <c:v>0.08</c:v>
                      </c:pt>
                      <c:pt idx="12">
                        <c:v>0.08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6E9F-4F3A-B2C5-695D1BEA6447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4"/>
          <c:order val="4"/>
          <c:tx>
            <c:strRef>
              <c:f>'Performance 2024-2025'!$A$53</c:f>
              <c:strCache>
                <c:ptCount val="1"/>
                <c:pt idx="0">
                  <c:v>PLAN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'Performance 2024-2025'!$B$48:$N$48</c:f>
              <c:strCache>
                <c:ptCount val="13"/>
                <c:pt idx="0">
                  <c:v>2024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'Performance 2024-2025'!$B$53:$N$53</c:f>
              <c:numCache>
                <c:formatCode>0</c:formatCode>
                <c:ptCount val="13"/>
                <c:pt idx="0">
                  <c:v>7.0000000000000007E-2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E9F-4F3A-B2C5-695D1BEA6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1250527"/>
        <c:axId val="581251007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'Performance 2024-2025'!$A$54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ln w="317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'Performance 2024-2025'!$B$48:$N$48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'Performance 2024-2025'!$B$54:$N$54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14</c:v>
                      </c:pt>
                      <c:pt idx="1">
                        <c:v>14</c:v>
                      </c:pt>
                      <c:pt idx="2">
                        <c:v>8</c:v>
                      </c:pt>
                      <c:pt idx="3">
                        <c:v>0.4</c:v>
                      </c:pt>
                      <c:pt idx="4">
                        <c:v>0.4</c:v>
                      </c:pt>
                      <c:pt idx="5">
                        <c:v>0.4</c:v>
                      </c:pt>
                      <c:pt idx="6">
                        <c:v>0.4</c:v>
                      </c:pt>
                      <c:pt idx="7">
                        <c:v>0.4</c:v>
                      </c:pt>
                      <c:pt idx="8">
                        <c:v>0.4</c:v>
                      </c:pt>
                      <c:pt idx="9">
                        <c:v>0.4</c:v>
                      </c:pt>
                      <c:pt idx="10">
                        <c:v>0.4</c:v>
                      </c:pt>
                      <c:pt idx="11">
                        <c:v>0.4</c:v>
                      </c:pt>
                      <c:pt idx="12">
                        <c:v>0.4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A-6E9F-4F3A-B2C5-695D1BEA6447}"/>
                  </c:ext>
                </c:extLst>
              </c15:ser>
            </c15:filteredLineSeries>
          </c:ext>
        </c:extLst>
      </c:lineChart>
      <c:catAx>
        <c:axId val="58125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581251007"/>
        <c:crosses val="autoZero"/>
        <c:auto val="1"/>
        <c:lblAlgn val="ctr"/>
        <c:lblOffset val="100"/>
        <c:noMultiLvlLbl val="0"/>
      </c:catAx>
      <c:valAx>
        <c:axId val="581251007"/>
        <c:scaling>
          <c:orientation val="minMax"/>
          <c:max val="6"/>
        </c:scaling>
        <c:delete val="1"/>
        <c:axPos val="l"/>
        <c:numFmt formatCode="0" sourceLinked="1"/>
        <c:majorTickMark val="out"/>
        <c:minorTickMark val="none"/>
        <c:tickLblPos val="nextTo"/>
        <c:crossAx val="58125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100" b="1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Shortbranches</a:t>
            </a:r>
          </a:p>
          <a:p>
            <a:pPr>
              <a:defRPr sz="120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100" b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2024-2025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775947135658942E-2"/>
          <c:y val="0.28932253269957514"/>
          <c:w val="0.92448105728682117"/>
          <c:h val="0.59347301539725406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'Performance 2024-2025'!$A$50</c:f>
              <c:strCache>
                <c:ptCount val="1"/>
                <c:pt idx="0">
                  <c:v>ACTUAL</c:v>
                </c:pt>
              </c:strCache>
              <c:extLst xmlns:c15="http://schemas.microsoft.com/office/drawing/2012/chart"/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'Performance 2024-2025'!$B$48:$N$48</c:f>
              <c:strCache>
                <c:ptCount val="13"/>
                <c:pt idx="0">
                  <c:v>2024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  <c:extLst xmlns:c15="http://schemas.microsoft.com/office/drawing/2012/chart"/>
            </c:strRef>
          </c:cat>
          <c:val>
            <c:numRef>
              <c:f>'Performance 2024-2025'!$B$50:$N$50</c:f>
              <c:numCache>
                <c:formatCode>0</c:formatCode>
                <c:ptCount val="13"/>
                <c:pt idx="0">
                  <c:v>14</c:v>
                </c:pt>
                <c:pt idx="1">
                  <c:v>14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2-9CE0-43AA-82D0-8F4EE7D003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81250527"/>
        <c:axId val="58125100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'Performance 2024-2025'!$A$49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bg2">
                      <a:lumMod val="9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2">
                              <a:lumMod val="50000"/>
                            </a:schemeClr>
                          </a:solidFill>
                          <a:latin typeface="Calibri" panose="020F0502020204030204" pitchFamily="34" charset="0"/>
                          <a:ea typeface="Calibri" panose="020F0502020204030204" pitchFamily="34" charset="0"/>
                          <a:cs typeface="Calibri" panose="020F0502020204030204" pitchFamily="34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'Performance 2024-2025'!$B$48:$N$48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'Performance 2024-2025'!$B$49:$N$49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7.0000000000000007E-2</c:v>
                      </c:pt>
                      <c:pt idx="1">
                        <c:v>7.0000000000000007E-2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7.0000000000000007E-2</c:v>
                      </c:pt>
                      <c:pt idx="5">
                        <c:v>7.0000000000000007E-2</c:v>
                      </c:pt>
                      <c:pt idx="6">
                        <c:v>7.0000000000000007E-2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7.0000000000000007E-2</c:v>
                      </c:pt>
                      <c:pt idx="10">
                        <c:v>7.0000000000000007E-2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CE0-43AA-82D0-8F4EE7D003A7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2024-2025'!$A$51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2024-2025'!$B$48:$N$48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2024-2025'!$B$51:$N$51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1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2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CE0-43AA-82D0-8F4EE7D003A7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2024-2025'!$A$52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2024-2025'!$B$48:$N$48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2024-2025'!$B$52:$N$52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7.0000000000000007E-2</c:v>
                      </c:pt>
                      <c:pt idx="1">
                        <c:v>7.0000000000000007E-2</c:v>
                      </c:pt>
                      <c:pt idx="2">
                        <c:v>7.0000000000000007E-2</c:v>
                      </c:pt>
                      <c:pt idx="3">
                        <c:v>7.0000000000000007E-2</c:v>
                      </c:pt>
                      <c:pt idx="4">
                        <c:v>7.0000000000000007E-2</c:v>
                      </c:pt>
                      <c:pt idx="5">
                        <c:v>7.0000000000000007E-2</c:v>
                      </c:pt>
                      <c:pt idx="6">
                        <c:v>7.0000000000000007E-2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7.0000000000000007E-2</c:v>
                      </c:pt>
                      <c:pt idx="10">
                        <c:v>7.0000000000000007E-2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CE0-43AA-82D0-8F4EE7D003A7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2024-2025'!$A$55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2024-2025'!$B$48:$N$48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2024-2025'!$B$55:$N$55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1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3</c:v>
                      </c:pt>
                      <c:pt idx="4">
                        <c:v>1</c:v>
                      </c:pt>
                      <c:pt idx="5">
                        <c:v>0.26</c:v>
                      </c:pt>
                      <c:pt idx="6">
                        <c:v>0.26</c:v>
                      </c:pt>
                      <c:pt idx="7">
                        <c:v>0.26</c:v>
                      </c:pt>
                      <c:pt idx="8">
                        <c:v>0.26</c:v>
                      </c:pt>
                      <c:pt idx="9">
                        <c:v>0.26</c:v>
                      </c:pt>
                      <c:pt idx="10">
                        <c:v>0.26</c:v>
                      </c:pt>
                      <c:pt idx="11">
                        <c:v>0.26</c:v>
                      </c:pt>
                      <c:pt idx="12">
                        <c:v>0.26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CE0-43AA-82D0-8F4EE7D003A7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2024-2025'!$A$56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2024-2025'!$B$48:$N$48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2024-2025'!$B$56:$N$56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7.0000000000000007E-2</c:v>
                      </c:pt>
                      <c:pt idx="1">
                        <c:v>0.08</c:v>
                      </c:pt>
                      <c:pt idx="2">
                        <c:v>0.08</c:v>
                      </c:pt>
                      <c:pt idx="3">
                        <c:v>0.08</c:v>
                      </c:pt>
                      <c:pt idx="4">
                        <c:v>0.08</c:v>
                      </c:pt>
                      <c:pt idx="5">
                        <c:v>0.08</c:v>
                      </c:pt>
                      <c:pt idx="6">
                        <c:v>0.08</c:v>
                      </c:pt>
                      <c:pt idx="7">
                        <c:v>0.08</c:v>
                      </c:pt>
                      <c:pt idx="8">
                        <c:v>0.08</c:v>
                      </c:pt>
                      <c:pt idx="9">
                        <c:v>0.08</c:v>
                      </c:pt>
                      <c:pt idx="10">
                        <c:v>0.08</c:v>
                      </c:pt>
                      <c:pt idx="11">
                        <c:v>0.08</c:v>
                      </c:pt>
                      <c:pt idx="12">
                        <c:v>0.08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CE0-43AA-82D0-8F4EE7D003A7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5"/>
          <c:order val="5"/>
          <c:tx>
            <c:strRef>
              <c:f>'Performance 2024-2025'!$A$54</c:f>
              <c:strCache>
                <c:ptCount val="1"/>
                <c:pt idx="0">
                  <c:v>PLAN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'Performance 2024-2025'!$B$48:$N$48</c:f>
              <c:strCache>
                <c:ptCount val="13"/>
                <c:pt idx="0">
                  <c:v>2024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  <c:extLst xmlns:c15="http://schemas.microsoft.com/office/drawing/2012/chart"/>
            </c:strRef>
          </c:cat>
          <c:val>
            <c:numRef>
              <c:f>'Performance 2024-2025'!$B$54:$N$54</c:f>
              <c:numCache>
                <c:formatCode>0</c:formatCode>
                <c:ptCount val="13"/>
                <c:pt idx="0">
                  <c:v>14</c:v>
                </c:pt>
                <c:pt idx="1">
                  <c:v>14</c:v>
                </c:pt>
                <c:pt idx="2">
                  <c:v>8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5-9CE0-43AA-82D0-8F4EE7D00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1250527"/>
        <c:axId val="581251007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'Performance 2024-2025'!$A$53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ln w="317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'Performance 2024-2025'!$B$48:$N$48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'Performance 2024-2025'!$B$53:$N$53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7.0000000000000007E-2</c:v>
                      </c:pt>
                      <c:pt idx="1">
                        <c:v>7.0000000000000007E-2</c:v>
                      </c:pt>
                      <c:pt idx="2">
                        <c:v>7.0000000000000007E-2</c:v>
                      </c:pt>
                      <c:pt idx="3">
                        <c:v>7.0000000000000007E-2</c:v>
                      </c:pt>
                      <c:pt idx="4">
                        <c:v>7.0000000000000007E-2</c:v>
                      </c:pt>
                      <c:pt idx="5">
                        <c:v>7.0000000000000007E-2</c:v>
                      </c:pt>
                      <c:pt idx="6">
                        <c:v>7.0000000000000007E-2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7.0000000000000007E-2</c:v>
                      </c:pt>
                      <c:pt idx="10">
                        <c:v>7.0000000000000007E-2</c:v>
                      </c:pt>
                      <c:pt idx="11">
                        <c:v>7.0000000000000007E-2</c:v>
                      </c:pt>
                      <c:pt idx="12">
                        <c:v>7.0000000000000007E-2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CE0-43AA-82D0-8F4EE7D003A7}"/>
                  </c:ext>
                </c:extLst>
              </c15:ser>
            </c15:filteredLineSeries>
          </c:ext>
        </c:extLst>
      </c:lineChart>
      <c:catAx>
        <c:axId val="58125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581251007"/>
        <c:crosses val="autoZero"/>
        <c:auto val="1"/>
        <c:lblAlgn val="ctr"/>
        <c:lblOffset val="100"/>
        <c:noMultiLvlLbl val="0"/>
      </c:catAx>
      <c:valAx>
        <c:axId val="581251007"/>
        <c:scaling>
          <c:orientation val="minMax"/>
          <c:max val="20"/>
        </c:scaling>
        <c:delete val="1"/>
        <c:axPos val="l"/>
        <c:numFmt formatCode="0" sourceLinked="1"/>
        <c:majorTickMark val="out"/>
        <c:minorTickMark val="none"/>
        <c:tickLblPos val="nextTo"/>
        <c:crossAx val="58125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100" b="1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Shortbranches</a:t>
            </a:r>
          </a:p>
          <a:p>
            <a:pPr>
              <a:defRPr sz="120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100" b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2024-2025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775947135658942E-2"/>
          <c:y val="0.28932253269957514"/>
          <c:w val="0.92448105728682117"/>
          <c:h val="0.59347301539725406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'Performance 2024-2025'!$A$51</c:f>
              <c:strCache>
                <c:ptCount val="1"/>
                <c:pt idx="0">
                  <c:v>ACTUAL</c:v>
                </c:pt>
              </c:strCache>
              <c:extLst xmlns:c15="http://schemas.microsoft.com/office/drawing/2012/chart"/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'Performance 2024-2025'!$B$48:$N$48</c:f>
              <c:strCache>
                <c:ptCount val="13"/>
                <c:pt idx="0">
                  <c:v>2024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  <c:extLst xmlns:c15="http://schemas.microsoft.com/office/drawing/2012/chart"/>
            </c:strRef>
          </c:cat>
          <c:val>
            <c:numRef>
              <c:f>'Performance 2024-2025'!$B$51:$N$51</c:f>
              <c:numCache>
                <c:formatCode>0</c:formatCode>
                <c:ptCount val="13"/>
                <c:pt idx="0">
                  <c:v>1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3-66EC-475E-94F3-64166AACE4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81250527"/>
        <c:axId val="58125100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'Performance 2024-2025'!$A$49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bg2">
                      <a:lumMod val="9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2">
                              <a:lumMod val="50000"/>
                            </a:schemeClr>
                          </a:solidFill>
                          <a:latin typeface="Calibri" panose="020F0502020204030204" pitchFamily="34" charset="0"/>
                          <a:ea typeface="Calibri" panose="020F0502020204030204" pitchFamily="34" charset="0"/>
                          <a:cs typeface="Calibri" panose="020F0502020204030204" pitchFamily="34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'Performance 2024-2025'!$B$48:$N$48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'Performance 2024-2025'!$B$49:$N$49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7.0000000000000007E-2</c:v>
                      </c:pt>
                      <c:pt idx="1">
                        <c:v>7.0000000000000007E-2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7.0000000000000007E-2</c:v>
                      </c:pt>
                      <c:pt idx="5">
                        <c:v>7.0000000000000007E-2</c:v>
                      </c:pt>
                      <c:pt idx="6">
                        <c:v>7.0000000000000007E-2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7.0000000000000007E-2</c:v>
                      </c:pt>
                      <c:pt idx="10">
                        <c:v>7.0000000000000007E-2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6EC-475E-94F3-64166AACE477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2024-2025'!$A$50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2024-2025'!$B$48:$N$48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2024-2025'!$B$50:$N$50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14</c:v>
                      </c:pt>
                      <c:pt idx="1">
                        <c:v>14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4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6EC-475E-94F3-64166AACE477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2024-2025'!$A$52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2024-2025'!$B$48:$N$48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2024-2025'!$B$52:$N$52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7.0000000000000007E-2</c:v>
                      </c:pt>
                      <c:pt idx="1">
                        <c:v>7.0000000000000007E-2</c:v>
                      </c:pt>
                      <c:pt idx="2">
                        <c:v>7.0000000000000007E-2</c:v>
                      </c:pt>
                      <c:pt idx="3">
                        <c:v>7.0000000000000007E-2</c:v>
                      </c:pt>
                      <c:pt idx="4">
                        <c:v>7.0000000000000007E-2</c:v>
                      </c:pt>
                      <c:pt idx="5">
                        <c:v>7.0000000000000007E-2</c:v>
                      </c:pt>
                      <c:pt idx="6">
                        <c:v>7.0000000000000007E-2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7.0000000000000007E-2</c:v>
                      </c:pt>
                      <c:pt idx="10">
                        <c:v>7.0000000000000007E-2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6EC-475E-94F3-64166AACE477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2024-2025'!$A$56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2024-2025'!$B$48:$N$48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2024-2025'!$B$56:$N$56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7.0000000000000007E-2</c:v>
                      </c:pt>
                      <c:pt idx="1">
                        <c:v>0.08</c:v>
                      </c:pt>
                      <c:pt idx="2">
                        <c:v>0.08</c:v>
                      </c:pt>
                      <c:pt idx="3">
                        <c:v>0.08</c:v>
                      </c:pt>
                      <c:pt idx="4">
                        <c:v>0.08</c:v>
                      </c:pt>
                      <c:pt idx="5">
                        <c:v>0.08</c:v>
                      </c:pt>
                      <c:pt idx="6">
                        <c:v>0.08</c:v>
                      </c:pt>
                      <c:pt idx="7">
                        <c:v>0.08</c:v>
                      </c:pt>
                      <c:pt idx="8">
                        <c:v>0.08</c:v>
                      </c:pt>
                      <c:pt idx="9">
                        <c:v>0.08</c:v>
                      </c:pt>
                      <c:pt idx="10">
                        <c:v>0.08</c:v>
                      </c:pt>
                      <c:pt idx="11">
                        <c:v>0.08</c:v>
                      </c:pt>
                      <c:pt idx="12">
                        <c:v>0.08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6EC-475E-94F3-64166AACE477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6"/>
          <c:order val="6"/>
          <c:tx>
            <c:strRef>
              <c:f>'Performance 2024-2025'!$A$55</c:f>
              <c:strCache>
                <c:ptCount val="1"/>
                <c:pt idx="0">
                  <c:v>PLAN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'Performance 2024-2025'!$B$48:$N$48</c:f>
              <c:strCache>
                <c:ptCount val="13"/>
                <c:pt idx="0">
                  <c:v>2024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  <c:extLst xmlns:c15="http://schemas.microsoft.com/office/drawing/2012/chart"/>
            </c:strRef>
          </c:cat>
          <c:val>
            <c:numRef>
              <c:f>'Performance 2024-2025'!$B$55:$N$55</c:f>
              <c:numCache>
                <c:formatCode>0</c:formatCode>
                <c:ptCount val="13"/>
                <c:pt idx="0">
                  <c:v>1</c:v>
                </c:pt>
                <c:pt idx="1">
                  <c:v>5</c:v>
                </c:pt>
                <c:pt idx="2">
                  <c:v>5</c:v>
                </c:pt>
                <c:pt idx="3">
                  <c:v>3</c:v>
                </c:pt>
                <c:pt idx="4">
                  <c:v>1</c:v>
                </c:pt>
                <c:pt idx="5">
                  <c:v>0.26</c:v>
                </c:pt>
                <c:pt idx="6">
                  <c:v>0.26</c:v>
                </c:pt>
                <c:pt idx="7">
                  <c:v>0.26</c:v>
                </c:pt>
                <c:pt idx="8">
                  <c:v>0.26</c:v>
                </c:pt>
                <c:pt idx="9">
                  <c:v>0.26</c:v>
                </c:pt>
                <c:pt idx="10">
                  <c:v>0.26</c:v>
                </c:pt>
                <c:pt idx="11">
                  <c:v>0.26</c:v>
                </c:pt>
                <c:pt idx="12">
                  <c:v>0.26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6-66EC-475E-94F3-64166AACE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1250527"/>
        <c:axId val="581251007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'Performance 2024-2025'!$A$53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ln w="317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'Performance 2024-2025'!$B$48:$N$48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'Performance 2024-2025'!$B$53:$N$53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7.0000000000000007E-2</c:v>
                      </c:pt>
                      <c:pt idx="1">
                        <c:v>7.0000000000000007E-2</c:v>
                      </c:pt>
                      <c:pt idx="2">
                        <c:v>7.0000000000000007E-2</c:v>
                      </c:pt>
                      <c:pt idx="3">
                        <c:v>7.0000000000000007E-2</c:v>
                      </c:pt>
                      <c:pt idx="4">
                        <c:v>7.0000000000000007E-2</c:v>
                      </c:pt>
                      <c:pt idx="5">
                        <c:v>7.0000000000000007E-2</c:v>
                      </c:pt>
                      <c:pt idx="6">
                        <c:v>7.0000000000000007E-2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7.0000000000000007E-2</c:v>
                      </c:pt>
                      <c:pt idx="10">
                        <c:v>7.0000000000000007E-2</c:v>
                      </c:pt>
                      <c:pt idx="11">
                        <c:v>7.0000000000000007E-2</c:v>
                      </c:pt>
                      <c:pt idx="12">
                        <c:v>7.0000000000000007E-2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66EC-475E-94F3-64166AACE47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2024-2025'!$A$54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ln w="317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2024-2025'!$B$48:$N$48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2024-2025'!$B$54:$N$54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14</c:v>
                      </c:pt>
                      <c:pt idx="1">
                        <c:v>14</c:v>
                      </c:pt>
                      <c:pt idx="2">
                        <c:v>8</c:v>
                      </c:pt>
                      <c:pt idx="3">
                        <c:v>0.4</c:v>
                      </c:pt>
                      <c:pt idx="4">
                        <c:v>0.4</c:v>
                      </c:pt>
                      <c:pt idx="5">
                        <c:v>0.4</c:v>
                      </c:pt>
                      <c:pt idx="6">
                        <c:v>0.4</c:v>
                      </c:pt>
                      <c:pt idx="7">
                        <c:v>0.4</c:v>
                      </c:pt>
                      <c:pt idx="8">
                        <c:v>0.4</c:v>
                      </c:pt>
                      <c:pt idx="9">
                        <c:v>0.4</c:v>
                      </c:pt>
                      <c:pt idx="10">
                        <c:v>0.4</c:v>
                      </c:pt>
                      <c:pt idx="11">
                        <c:v>0.4</c:v>
                      </c:pt>
                      <c:pt idx="12">
                        <c:v>0.4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6EC-475E-94F3-64166AACE477}"/>
                  </c:ext>
                </c:extLst>
              </c15:ser>
            </c15:filteredLineSeries>
          </c:ext>
        </c:extLst>
      </c:lineChart>
      <c:catAx>
        <c:axId val="58125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581251007"/>
        <c:crosses val="autoZero"/>
        <c:auto val="1"/>
        <c:lblAlgn val="ctr"/>
        <c:lblOffset val="100"/>
        <c:noMultiLvlLbl val="0"/>
      </c:catAx>
      <c:valAx>
        <c:axId val="581251007"/>
        <c:scaling>
          <c:orientation val="minMax"/>
          <c:max val="15"/>
        </c:scaling>
        <c:delete val="1"/>
        <c:axPos val="l"/>
        <c:numFmt formatCode="0" sourceLinked="1"/>
        <c:majorTickMark val="out"/>
        <c:minorTickMark val="none"/>
        <c:tickLblPos val="nextTo"/>
        <c:crossAx val="58125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709856978907133"/>
          <c:y val="0.43648881176329751"/>
          <c:w val="0.20230535492551627"/>
          <c:h val="0.195842345787654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100" b="1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Shortbranches</a:t>
            </a:r>
          </a:p>
          <a:p>
            <a:pPr>
              <a:defRPr sz="120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100" b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2024-2025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775947135658942E-2"/>
          <c:y val="0.28932253269957514"/>
          <c:w val="0.92448105728682117"/>
          <c:h val="0.59347301539725406"/>
        </c:manualLayout>
      </c:layout>
      <c:barChart>
        <c:barDir val="col"/>
        <c:grouping val="clustered"/>
        <c:varyColors val="0"/>
        <c:ser>
          <c:idx val="3"/>
          <c:order val="3"/>
          <c:tx>
            <c:strRef>
              <c:f>'Performance 2024-2025'!$A$52</c:f>
              <c:strCache>
                <c:ptCount val="1"/>
                <c:pt idx="0">
                  <c:v>ACTUAL</c:v>
                </c:pt>
              </c:strCache>
              <c:extLst xmlns:c15="http://schemas.microsoft.com/office/drawing/2012/chart"/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'Performance 2024-2025'!$B$48:$N$48</c:f>
              <c:strCache>
                <c:ptCount val="13"/>
                <c:pt idx="0">
                  <c:v>2024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  <c:extLst xmlns:c15="http://schemas.microsoft.com/office/drawing/2012/chart"/>
            </c:strRef>
          </c:cat>
          <c:val>
            <c:numRef>
              <c:f>'Performance 2024-2025'!$B$52:$N$52</c:f>
              <c:numCache>
                <c:formatCode>0</c:formatCode>
                <c:ptCount val="13"/>
                <c:pt idx="0">
                  <c:v>7.0000000000000007E-2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7.0000000000000007E-2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4-923A-4D06-9BB3-BD89A969E8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81250527"/>
        <c:axId val="58125100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'Performance 2024-2025'!$A$49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bg2">
                      <a:lumMod val="9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2">
                              <a:lumMod val="50000"/>
                            </a:schemeClr>
                          </a:solidFill>
                          <a:latin typeface="Calibri" panose="020F0502020204030204" pitchFamily="34" charset="0"/>
                          <a:ea typeface="Calibri" panose="020F0502020204030204" pitchFamily="34" charset="0"/>
                          <a:cs typeface="Calibri" panose="020F0502020204030204" pitchFamily="34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'Performance 2024-2025'!$B$48:$N$48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'Performance 2024-2025'!$B$49:$N$49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7.0000000000000007E-2</c:v>
                      </c:pt>
                      <c:pt idx="1">
                        <c:v>7.0000000000000007E-2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7.0000000000000007E-2</c:v>
                      </c:pt>
                      <c:pt idx="5">
                        <c:v>7.0000000000000007E-2</c:v>
                      </c:pt>
                      <c:pt idx="6">
                        <c:v>7.0000000000000007E-2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7.0000000000000007E-2</c:v>
                      </c:pt>
                      <c:pt idx="10">
                        <c:v>7.0000000000000007E-2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923A-4D06-9BB3-BD89A969E8E8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2024-2025'!$A$50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2024-2025'!$B$48:$N$48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2024-2025'!$B$50:$N$50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14</c:v>
                      </c:pt>
                      <c:pt idx="1">
                        <c:v>14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4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23A-4D06-9BB3-BD89A969E8E8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2024-2025'!$A$51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bg1">
                      <a:lumMod val="8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2">
                              <a:lumMod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2024-2025'!$B$48:$N$48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2024-2025'!$B$51:$N$51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1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2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923A-4D06-9BB3-BD89A969E8E8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7"/>
          <c:order val="7"/>
          <c:tx>
            <c:strRef>
              <c:f>'Performance 2024-2025'!$A$56</c:f>
              <c:strCache>
                <c:ptCount val="1"/>
                <c:pt idx="0">
                  <c:v>PLAN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'Performance 2024-2025'!$B$48:$N$48</c:f>
              <c:strCache>
                <c:ptCount val="13"/>
                <c:pt idx="0">
                  <c:v>2024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  <c:extLst xmlns:c15="http://schemas.microsoft.com/office/drawing/2012/chart"/>
            </c:strRef>
          </c:cat>
          <c:val>
            <c:numRef>
              <c:f>'Performance 2024-2025'!$B$56:$N$56</c:f>
              <c:numCache>
                <c:formatCode>0</c:formatCode>
                <c:ptCount val="13"/>
                <c:pt idx="0">
                  <c:v>7.0000000000000007E-2</c:v>
                </c:pt>
                <c:pt idx="1">
                  <c:v>0.08</c:v>
                </c:pt>
                <c:pt idx="2">
                  <c:v>0.08</c:v>
                </c:pt>
                <c:pt idx="3">
                  <c:v>0.08</c:v>
                </c:pt>
                <c:pt idx="4">
                  <c:v>0.08</c:v>
                </c:pt>
                <c:pt idx="5">
                  <c:v>0.08</c:v>
                </c:pt>
                <c:pt idx="6">
                  <c:v>0.08</c:v>
                </c:pt>
                <c:pt idx="7">
                  <c:v>0.08</c:v>
                </c:pt>
                <c:pt idx="8">
                  <c:v>0.08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  <c:pt idx="12">
                  <c:v>0.08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7-923A-4D06-9BB3-BD89A969E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1250527"/>
        <c:axId val="581251007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'Performance 2024-2025'!$A$53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ln w="317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'Performance 2024-2025'!$B$48:$N$48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'Performance 2024-2025'!$B$53:$N$53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7.0000000000000007E-2</c:v>
                      </c:pt>
                      <c:pt idx="1">
                        <c:v>7.0000000000000007E-2</c:v>
                      </c:pt>
                      <c:pt idx="2">
                        <c:v>7.0000000000000007E-2</c:v>
                      </c:pt>
                      <c:pt idx="3">
                        <c:v>7.0000000000000007E-2</c:v>
                      </c:pt>
                      <c:pt idx="4">
                        <c:v>7.0000000000000007E-2</c:v>
                      </c:pt>
                      <c:pt idx="5">
                        <c:v>7.0000000000000007E-2</c:v>
                      </c:pt>
                      <c:pt idx="6">
                        <c:v>7.0000000000000007E-2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7.0000000000000007E-2</c:v>
                      </c:pt>
                      <c:pt idx="10">
                        <c:v>7.0000000000000007E-2</c:v>
                      </c:pt>
                      <c:pt idx="11">
                        <c:v>7.0000000000000007E-2</c:v>
                      </c:pt>
                      <c:pt idx="12">
                        <c:v>7.0000000000000007E-2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923A-4D06-9BB3-BD89A969E8E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2024-2025'!$A$54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ln w="317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2024-2025'!$B$48:$N$48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2024-2025'!$B$54:$N$54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14</c:v>
                      </c:pt>
                      <c:pt idx="1">
                        <c:v>14</c:v>
                      </c:pt>
                      <c:pt idx="2">
                        <c:v>8</c:v>
                      </c:pt>
                      <c:pt idx="3">
                        <c:v>0.4</c:v>
                      </c:pt>
                      <c:pt idx="4">
                        <c:v>0.4</c:v>
                      </c:pt>
                      <c:pt idx="5">
                        <c:v>0.4</c:v>
                      </c:pt>
                      <c:pt idx="6">
                        <c:v>0.4</c:v>
                      </c:pt>
                      <c:pt idx="7">
                        <c:v>0.4</c:v>
                      </c:pt>
                      <c:pt idx="8">
                        <c:v>0.4</c:v>
                      </c:pt>
                      <c:pt idx="9">
                        <c:v>0.4</c:v>
                      </c:pt>
                      <c:pt idx="10">
                        <c:v>0.4</c:v>
                      </c:pt>
                      <c:pt idx="11">
                        <c:v>0.4</c:v>
                      </c:pt>
                      <c:pt idx="12">
                        <c:v>0.4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23A-4D06-9BB3-BD89A969E8E8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2024-2025'!$A$55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ln w="317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2024-2025'!$B$48:$N$48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2024-2025'!$B$55:$N$55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1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3</c:v>
                      </c:pt>
                      <c:pt idx="4">
                        <c:v>1</c:v>
                      </c:pt>
                      <c:pt idx="5">
                        <c:v>0.26</c:v>
                      </c:pt>
                      <c:pt idx="6">
                        <c:v>0.26</c:v>
                      </c:pt>
                      <c:pt idx="7">
                        <c:v>0.26</c:v>
                      </c:pt>
                      <c:pt idx="8">
                        <c:v>0.26</c:v>
                      </c:pt>
                      <c:pt idx="9">
                        <c:v>0.26</c:v>
                      </c:pt>
                      <c:pt idx="10">
                        <c:v>0.26</c:v>
                      </c:pt>
                      <c:pt idx="11">
                        <c:v>0.26</c:v>
                      </c:pt>
                      <c:pt idx="12">
                        <c:v>0.26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23A-4D06-9BB3-BD89A969E8E8}"/>
                  </c:ext>
                </c:extLst>
              </c15:ser>
            </c15:filteredLineSeries>
          </c:ext>
        </c:extLst>
      </c:lineChart>
      <c:catAx>
        <c:axId val="58125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581251007"/>
        <c:crosses val="autoZero"/>
        <c:auto val="1"/>
        <c:lblAlgn val="ctr"/>
        <c:lblOffset val="100"/>
        <c:noMultiLvlLbl val="0"/>
      </c:catAx>
      <c:valAx>
        <c:axId val="581251007"/>
        <c:scaling>
          <c:orientation val="minMax"/>
          <c:max val="15"/>
        </c:scaling>
        <c:delete val="1"/>
        <c:axPos val="l"/>
        <c:numFmt formatCode="0" sourceLinked="1"/>
        <c:majorTickMark val="out"/>
        <c:minorTickMark val="none"/>
        <c:tickLblPos val="nextTo"/>
        <c:crossAx val="58125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709856978907133"/>
          <c:y val="0.43648881176329751"/>
          <c:w val="0.20230535492551627"/>
          <c:h val="0.195842345787654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100" b="1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Forces</a:t>
            </a:r>
          </a:p>
          <a:p>
            <a:pPr>
              <a:defRPr sz="120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100" b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2024-2025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775947135658942E-2"/>
          <c:y val="0.28932253269957514"/>
          <c:w val="0.92448105728682117"/>
          <c:h val="0.593473015397254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'Performance 2024-2025'!$A$99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007E7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'Performance 2024-2025'!$B$98:$N$98</c:f>
              <c:strCache>
                <c:ptCount val="13"/>
                <c:pt idx="0">
                  <c:v>2024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'Performance 2024-2025'!$B$99:$N$99</c:f>
              <c:numCache>
                <c:formatCode>0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7.0000000000000007E-2</c:v>
                </c:pt>
                <c:pt idx="8">
                  <c:v>1</c:v>
                </c:pt>
                <c:pt idx="9">
                  <c:v>7.0000000000000007E-2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A-4CB9-A1A3-393D749D59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81250527"/>
        <c:axId val="581251007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'Performance 2024-2025'!$A$100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'Performance 2024-2025'!$B$98:$N$98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'Performance 2024-2025'!$B$100:$N$100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8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7.0000000000000007E-2</c:v>
                      </c:pt>
                      <c:pt idx="4">
                        <c:v>7.0000000000000007E-2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6E7A-4CB9-A1A3-393D749D596D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2024-2025'!$A$101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2024-2025'!$B$98:$N$98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2024-2025'!$B$101:$N$101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7.0000000000000007E-2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7.0000000000000007E-2</c:v>
                      </c:pt>
                      <c:pt idx="10">
                        <c:v>7.0000000000000007E-2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E7A-4CB9-A1A3-393D749D596D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2024-2025'!$A$102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2024-2025'!$B$98:$N$98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2024-2025'!$B$102:$N$102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1</c:v>
                      </c:pt>
                      <c:pt idx="1">
                        <c:v>2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7.0000000000000007E-2</c:v>
                      </c:pt>
                      <c:pt idx="6">
                        <c:v>7.0000000000000007E-2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7.0000000000000007E-2</c:v>
                      </c:pt>
                      <c:pt idx="10">
                        <c:v>7.0000000000000007E-2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E7A-4CB9-A1A3-393D749D596D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2024-2025'!$A$105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2024-2025'!$B$98:$N$98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2024-2025'!$B$105:$N$105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7.0000000000000007E-2</c:v>
                      </c:pt>
                      <c:pt idx="1">
                        <c:v>7.0000000000000007E-2</c:v>
                      </c:pt>
                      <c:pt idx="2">
                        <c:v>7.0000000000000007E-2</c:v>
                      </c:pt>
                      <c:pt idx="3">
                        <c:v>7.0000000000000007E-2</c:v>
                      </c:pt>
                      <c:pt idx="4">
                        <c:v>7.0000000000000007E-2</c:v>
                      </c:pt>
                      <c:pt idx="5">
                        <c:v>7.0000000000000007E-2</c:v>
                      </c:pt>
                      <c:pt idx="6">
                        <c:v>7.0000000000000007E-2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7.0000000000000007E-2</c:v>
                      </c:pt>
                      <c:pt idx="10">
                        <c:v>7.0000000000000007E-2</c:v>
                      </c:pt>
                      <c:pt idx="11">
                        <c:v>7.0000000000000007E-2</c:v>
                      </c:pt>
                      <c:pt idx="12">
                        <c:v>7.0000000000000007E-2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E7A-4CB9-A1A3-393D749D596D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2024-2025'!$A$106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2024-2025'!$B$98:$N$98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2024-2025'!$B$106:$N$106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1</c:v>
                      </c:pt>
                      <c:pt idx="1">
                        <c:v>2</c:v>
                      </c:pt>
                      <c:pt idx="2">
                        <c:v>7.0000000000000007E-2</c:v>
                      </c:pt>
                      <c:pt idx="3">
                        <c:v>7.0000000000000007E-2</c:v>
                      </c:pt>
                      <c:pt idx="4">
                        <c:v>7.0000000000000007E-2</c:v>
                      </c:pt>
                      <c:pt idx="5">
                        <c:v>7.0000000000000007E-2</c:v>
                      </c:pt>
                      <c:pt idx="6">
                        <c:v>7.0000000000000007E-2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7.0000000000000007E-2</c:v>
                      </c:pt>
                      <c:pt idx="10">
                        <c:v>7.0000000000000007E-2</c:v>
                      </c:pt>
                      <c:pt idx="11">
                        <c:v>7.0000000000000007E-2</c:v>
                      </c:pt>
                      <c:pt idx="12">
                        <c:v>7.0000000000000007E-2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E7A-4CB9-A1A3-393D749D596D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4"/>
          <c:order val="4"/>
          <c:tx>
            <c:strRef>
              <c:f>'Performance 2024-2025'!$A$103</c:f>
              <c:strCache>
                <c:ptCount val="1"/>
                <c:pt idx="0">
                  <c:v>PLAN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'Performance 2024-2025'!$B$98:$N$98</c:f>
              <c:strCache>
                <c:ptCount val="13"/>
                <c:pt idx="0">
                  <c:v>2024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'Performance 2024-2025'!$B$103:$N$103</c:f>
              <c:numCache>
                <c:formatCode>0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7A-4CB9-A1A3-393D749D5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1250527"/>
        <c:axId val="581251007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'Performance 2024-2025'!$A$104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ln w="317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'Performance 2024-2025'!$B$98:$N$98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'Performance 2024-2025'!$B$104:$N$104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8</c:v>
                      </c:pt>
                      <c:pt idx="1">
                        <c:v>8</c:v>
                      </c:pt>
                      <c:pt idx="2">
                        <c:v>5</c:v>
                      </c:pt>
                      <c:pt idx="3">
                        <c:v>4</c:v>
                      </c:pt>
                      <c:pt idx="4">
                        <c:v>2</c:v>
                      </c:pt>
                      <c:pt idx="5">
                        <c:v>7.0000000000000007E-2</c:v>
                      </c:pt>
                      <c:pt idx="6">
                        <c:v>7.0000000000000007E-2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7.0000000000000007E-2</c:v>
                      </c:pt>
                      <c:pt idx="10">
                        <c:v>7.0000000000000007E-2</c:v>
                      </c:pt>
                      <c:pt idx="11">
                        <c:v>7.0000000000000007E-2</c:v>
                      </c:pt>
                      <c:pt idx="12">
                        <c:v>7.0000000000000007E-2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6E7A-4CB9-A1A3-393D749D596D}"/>
                  </c:ext>
                </c:extLst>
              </c15:ser>
            </c15:filteredLineSeries>
          </c:ext>
        </c:extLst>
      </c:lineChart>
      <c:catAx>
        <c:axId val="58125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581251007"/>
        <c:crosses val="autoZero"/>
        <c:auto val="1"/>
        <c:lblAlgn val="ctr"/>
        <c:lblOffset val="100"/>
        <c:noMultiLvlLbl val="0"/>
      </c:catAx>
      <c:valAx>
        <c:axId val="581251007"/>
        <c:scaling>
          <c:orientation val="minMax"/>
          <c:max val="6"/>
        </c:scaling>
        <c:delete val="1"/>
        <c:axPos val="l"/>
        <c:numFmt formatCode="0" sourceLinked="1"/>
        <c:majorTickMark val="out"/>
        <c:minorTickMark val="none"/>
        <c:tickLblPos val="nextTo"/>
        <c:crossAx val="58125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100" b="1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Forces</a:t>
            </a:r>
          </a:p>
          <a:p>
            <a:pPr>
              <a:defRPr sz="120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100" b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2024-2025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775947135658942E-2"/>
          <c:y val="0.28932253269957514"/>
          <c:w val="0.92448105728682117"/>
          <c:h val="0.59347301539725406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'Performance 2024-2025'!$A$100</c:f>
              <c:strCache>
                <c:ptCount val="1"/>
                <c:pt idx="0">
                  <c:v>ACTUAL</c:v>
                </c:pt>
              </c:strCache>
              <c:extLst xmlns:c15="http://schemas.microsoft.com/office/drawing/2012/chart"/>
            </c:strRef>
          </c:tx>
          <c:spPr>
            <a:solidFill>
              <a:srgbClr val="007E7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'Performance 2024-2025'!$B$98:$N$98</c:f>
              <c:strCache>
                <c:ptCount val="13"/>
                <c:pt idx="0">
                  <c:v>2024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  <c:extLst xmlns:c15="http://schemas.microsoft.com/office/drawing/2012/chart"/>
            </c:strRef>
          </c:cat>
          <c:val>
            <c:numRef>
              <c:f>'Performance 2024-2025'!$B$100:$N$100</c:f>
              <c:numCache>
                <c:formatCode>0</c:formatCode>
                <c:ptCount val="13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2-7FE7-450A-A48B-6187E1F137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81250527"/>
        <c:axId val="58125100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'Performance 2024-2025'!$A$99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rgbClr val="007E79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2">
                              <a:lumMod val="50000"/>
                            </a:schemeClr>
                          </a:solidFill>
                          <a:latin typeface="Calibri" panose="020F0502020204030204" pitchFamily="34" charset="0"/>
                          <a:ea typeface="Calibri" panose="020F0502020204030204" pitchFamily="34" charset="0"/>
                          <a:cs typeface="Calibri" panose="020F0502020204030204" pitchFamily="34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'Performance 2024-2025'!$B$98:$N$98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'Performance 2024-2025'!$B$99:$N$99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1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1</c:v>
                      </c:pt>
                      <c:pt idx="5">
                        <c:v>2</c:v>
                      </c:pt>
                      <c:pt idx="6">
                        <c:v>1</c:v>
                      </c:pt>
                      <c:pt idx="7">
                        <c:v>7.0000000000000007E-2</c:v>
                      </c:pt>
                      <c:pt idx="8">
                        <c:v>1</c:v>
                      </c:pt>
                      <c:pt idx="9">
                        <c:v>7.0000000000000007E-2</c:v>
                      </c:pt>
                      <c:pt idx="10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7FE7-450A-A48B-6187E1F13778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2024-2025'!$A$101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2024-2025'!$B$98:$N$98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2024-2025'!$B$101:$N$101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7.0000000000000007E-2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7.0000000000000007E-2</c:v>
                      </c:pt>
                      <c:pt idx="10">
                        <c:v>7.0000000000000007E-2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FE7-450A-A48B-6187E1F13778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2024-2025'!$A$102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2024-2025'!$B$98:$N$98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2024-2025'!$B$102:$N$102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1</c:v>
                      </c:pt>
                      <c:pt idx="1">
                        <c:v>2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7.0000000000000007E-2</c:v>
                      </c:pt>
                      <c:pt idx="6">
                        <c:v>7.0000000000000007E-2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7.0000000000000007E-2</c:v>
                      </c:pt>
                      <c:pt idx="10">
                        <c:v>7.0000000000000007E-2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FE7-450A-A48B-6187E1F13778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2024-2025'!$A$105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2024-2025'!$B$98:$N$98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2024-2025'!$B$105:$N$105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7.0000000000000007E-2</c:v>
                      </c:pt>
                      <c:pt idx="1">
                        <c:v>7.0000000000000007E-2</c:v>
                      </c:pt>
                      <c:pt idx="2">
                        <c:v>7.0000000000000007E-2</c:v>
                      </c:pt>
                      <c:pt idx="3">
                        <c:v>7.0000000000000007E-2</c:v>
                      </c:pt>
                      <c:pt idx="4">
                        <c:v>7.0000000000000007E-2</c:v>
                      </c:pt>
                      <c:pt idx="5">
                        <c:v>7.0000000000000007E-2</c:v>
                      </c:pt>
                      <c:pt idx="6">
                        <c:v>7.0000000000000007E-2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7.0000000000000007E-2</c:v>
                      </c:pt>
                      <c:pt idx="10">
                        <c:v>7.0000000000000007E-2</c:v>
                      </c:pt>
                      <c:pt idx="11">
                        <c:v>7.0000000000000007E-2</c:v>
                      </c:pt>
                      <c:pt idx="12">
                        <c:v>7.0000000000000007E-2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FE7-450A-A48B-6187E1F13778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2024-2025'!$A$106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2024-2025'!$B$98:$N$98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2024-2025'!$B$106:$N$106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1</c:v>
                      </c:pt>
                      <c:pt idx="1">
                        <c:v>2</c:v>
                      </c:pt>
                      <c:pt idx="2">
                        <c:v>7.0000000000000007E-2</c:v>
                      </c:pt>
                      <c:pt idx="3">
                        <c:v>7.0000000000000007E-2</c:v>
                      </c:pt>
                      <c:pt idx="4">
                        <c:v>7.0000000000000007E-2</c:v>
                      </c:pt>
                      <c:pt idx="5">
                        <c:v>7.0000000000000007E-2</c:v>
                      </c:pt>
                      <c:pt idx="6">
                        <c:v>7.0000000000000007E-2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7.0000000000000007E-2</c:v>
                      </c:pt>
                      <c:pt idx="10">
                        <c:v>7.0000000000000007E-2</c:v>
                      </c:pt>
                      <c:pt idx="11">
                        <c:v>7.0000000000000007E-2</c:v>
                      </c:pt>
                      <c:pt idx="12">
                        <c:v>7.0000000000000007E-2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FE7-450A-A48B-6187E1F13778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5"/>
          <c:order val="5"/>
          <c:tx>
            <c:strRef>
              <c:f>'Performance 2024-2025'!$A$104</c:f>
              <c:strCache>
                <c:ptCount val="1"/>
                <c:pt idx="0">
                  <c:v>PLAN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'Performance 2024-2025'!$B$98:$N$98</c:f>
              <c:strCache>
                <c:ptCount val="13"/>
                <c:pt idx="0">
                  <c:v>2024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  <c:extLst xmlns:c15="http://schemas.microsoft.com/office/drawing/2012/chart"/>
            </c:strRef>
          </c:cat>
          <c:val>
            <c:numRef>
              <c:f>'Performance 2024-2025'!$B$104:$N$104</c:f>
              <c:numCache>
                <c:formatCode>0</c:formatCode>
                <c:ptCount val="13"/>
                <c:pt idx="0">
                  <c:v>8</c:v>
                </c:pt>
                <c:pt idx="1">
                  <c:v>8</c:v>
                </c:pt>
                <c:pt idx="2">
                  <c:v>5</c:v>
                </c:pt>
                <c:pt idx="3">
                  <c:v>4</c:v>
                </c:pt>
                <c:pt idx="4">
                  <c:v>2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7.0000000000000007E-2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5-7FE7-450A-A48B-6187E1F13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1250527"/>
        <c:axId val="581251007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'Performance 2024-2025'!$A$103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ln w="317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'Performance 2024-2025'!$B$98:$N$98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'Performance 2024-2025'!$B$103:$N$103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1</c:v>
                      </c:pt>
                      <c:pt idx="1">
                        <c:v>1</c:v>
                      </c:pt>
                      <c:pt idx="2">
                        <c:v>7.0000000000000007E-2</c:v>
                      </c:pt>
                      <c:pt idx="3">
                        <c:v>7.0000000000000007E-2</c:v>
                      </c:pt>
                      <c:pt idx="4">
                        <c:v>7.0000000000000007E-2</c:v>
                      </c:pt>
                      <c:pt idx="5">
                        <c:v>7.0000000000000007E-2</c:v>
                      </c:pt>
                      <c:pt idx="6">
                        <c:v>7.0000000000000007E-2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7.0000000000000007E-2</c:v>
                      </c:pt>
                      <c:pt idx="10">
                        <c:v>7.0000000000000007E-2</c:v>
                      </c:pt>
                      <c:pt idx="11">
                        <c:v>7.0000000000000007E-2</c:v>
                      </c:pt>
                      <c:pt idx="12">
                        <c:v>7.0000000000000007E-2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7FE7-450A-A48B-6187E1F13778}"/>
                  </c:ext>
                </c:extLst>
              </c15:ser>
            </c15:filteredLineSeries>
          </c:ext>
        </c:extLst>
      </c:lineChart>
      <c:catAx>
        <c:axId val="58125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581251007"/>
        <c:crosses val="autoZero"/>
        <c:auto val="1"/>
        <c:lblAlgn val="ctr"/>
        <c:lblOffset val="100"/>
        <c:noMultiLvlLbl val="0"/>
      </c:catAx>
      <c:valAx>
        <c:axId val="581251007"/>
        <c:scaling>
          <c:orientation val="minMax"/>
          <c:max val="10"/>
        </c:scaling>
        <c:delete val="1"/>
        <c:axPos val="l"/>
        <c:numFmt formatCode="0" sourceLinked="1"/>
        <c:majorTickMark val="out"/>
        <c:minorTickMark val="none"/>
        <c:tickLblPos val="nextTo"/>
        <c:crossAx val="58125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100" b="1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Forces</a:t>
            </a:r>
          </a:p>
          <a:p>
            <a:pPr>
              <a:defRPr sz="120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100" b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2024-2025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775947135658942E-2"/>
          <c:y val="0.28932253269957514"/>
          <c:w val="0.92448105728682117"/>
          <c:h val="0.59347301539725406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'Performance 2024-2025'!$A$101</c:f>
              <c:strCache>
                <c:ptCount val="1"/>
                <c:pt idx="0">
                  <c:v>ACTUAL</c:v>
                </c:pt>
              </c:strCache>
              <c:extLst xmlns:c15="http://schemas.microsoft.com/office/drawing/2012/chart"/>
            </c:strRef>
          </c:tx>
          <c:spPr>
            <a:solidFill>
              <a:srgbClr val="007E7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'Performance 2024-2025'!$B$98:$N$98</c:f>
              <c:strCache>
                <c:ptCount val="13"/>
                <c:pt idx="0">
                  <c:v>2024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  <c:extLst xmlns:c15="http://schemas.microsoft.com/office/drawing/2012/chart"/>
            </c:strRef>
          </c:cat>
          <c:val>
            <c:numRef>
              <c:f>'Performance 2024-2025'!$B$101:$N$101</c:f>
              <c:numCache>
                <c:formatCode>0</c:formatCode>
                <c:ptCount val="13"/>
                <c:pt idx="0">
                  <c:v>7.0000000000000007E-2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7.0000000000000007E-2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3-D5BB-4EEC-9A19-6F0A743450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81250527"/>
        <c:axId val="58125100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'Performance 2024-2025'!$A$99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rgbClr val="007E79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2">
                              <a:lumMod val="50000"/>
                            </a:schemeClr>
                          </a:solidFill>
                          <a:latin typeface="Calibri" panose="020F0502020204030204" pitchFamily="34" charset="0"/>
                          <a:ea typeface="Calibri" panose="020F0502020204030204" pitchFamily="34" charset="0"/>
                          <a:cs typeface="Calibri" panose="020F0502020204030204" pitchFamily="34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'Performance 2024-2025'!$B$98:$N$98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'Performance 2024-2025'!$B$99:$N$99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1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1</c:v>
                      </c:pt>
                      <c:pt idx="5">
                        <c:v>2</c:v>
                      </c:pt>
                      <c:pt idx="6">
                        <c:v>1</c:v>
                      </c:pt>
                      <c:pt idx="7">
                        <c:v>7.0000000000000007E-2</c:v>
                      </c:pt>
                      <c:pt idx="8">
                        <c:v>1</c:v>
                      </c:pt>
                      <c:pt idx="9">
                        <c:v>7.0000000000000007E-2</c:v>
                      </c:pt>
                      <c:pt idx="10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5BB-4EEC-9A19-6F0A743450EB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2024-2025'!$A$100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2024-2025'!$B$98:$N$98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2024-2025'!$B$100:$N$100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8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7.0000000000000007E-2</c:v>
                      </c:pt>
                      <c:pt idx="4">
                        <c:v>7.0000000000000007E-2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5BB-4EEC-9A19-6F0A743450EB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2024-2025'!$A$102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2024-2025'!$B$98:$N$98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2024-2025'!$B$102:$N$102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1</c:v>
                      </c:pt>
                      <c:pt idx="1">
                        <c:v>2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7.0000000000000007E-2</c:v>
                      </c:pt>
                      <c:pt idx="6">
                        <c:v>7.0000000000000007E-2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7.0000000000000007E-2</c:v>
                      </c:pt>
                      <c:pt idx="10">
                        <c:v>7.0000000000000007E-2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5BB-4EEC-9A19-6F0A743450EB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2024-2025'!$A$106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2024-2025'!$B$98:$N$98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2024-2025'!$B$106:$N$106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1</c:v>
                      </c:pt>
                      <c:pt idx="1">
                        <c:v>2</c:v>
                      </c:pt>
                      <c:pt idx="2">
                        <c:v>7.0000000000000007E-2</c:v>
                      </c:pt>
                      <c:pt idx="3">
                        <c:v>7.0000000000000007E-2</c:v>
                      </c:pt>
                      <c:pt idx="4">
                        <c:v>7.0000000000000007E-2</c:v>
                      </c:pt>
                      <c:pt idx="5">
                        <c:v>7.0000000000000007E-2</c:v>
                      </c:pt>
                      <c:pt idx="6">
                        <c:v>7.0000000000000007E-2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7.0000000000000007E-2</c:v>
                      </c:pt>
                      <c:pt idx="10">
                        <c:v>7.0000000000000007E-2</c:v>
                      </c:pt>
                      <c:pt idx="11">
                        <c:v>7.0000000000000007E-2</c:v>
                      </c:pt>
                      <c:pt idx="12">
                        <c:v>7.0000000000000007E-2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5BB-4EEC-9A19-6F0A743450EB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6"/>
          <c:order val="6"/>
          <c:tx>
            <c:strRef>
              <c:f>'Performance 2024-2025'!$A$105</c:f>
              <c:strCache>
                <c:ptCount val="1"/>
                <c:pt idx="0">
                  <c:v>PLAN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'Performance 2024-2025'!$B$98:$N$98</c:f>
              <c:strCache>
                <c:ptCount val="13"/>
                <c:pt idx="0">
                  <c:v>2024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  <c:extLst xmlns:c15="http://schemas.microsoft.com/office/drawing/2012/chart"/>
            </c:strRef>
          </c:cat>
          <c:val>
            <c:numRef>
              <c:f>'Performance 2024-2025'!$B$105:$N$105</c:f>
              <c:numCache>
                <c:formatCode>0</c:formatCode>
                <c:ptCount val="13"/>
                <c:pt idx="0">
                  <c:v>7.0000000000000007E-2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7.0000000000000007E-2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6-D5BB-4EEC-9A19-6F0A74345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1250527"/>
        <c:axId val="581251007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'Performance 2024-2025'!$A$103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ln w="317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'Performance 2024-2025'!$B$98:$N$98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'Performance 2024-2025'!$B$103:$N$103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1</c:v>
                      </c:pt>
                      <c:pt idx="1">
                        <c:v>1</c:v>
                      </c:pt>
                      <c:pt idx="2">
                        <c:v>7.0000000000000007E-2</c:v>
                      </c:pt>
                      <c:pt idx="3">
                        <c:v>7.0000000000000007E-2</c:v>
                      </c:pt>
                      <c:pt idx="4">
                        <c:v>7.0000000000000007E-2</c:v>
                      </c:pt>
                      <c:pt idx="5">
                        <c:v>7.0000000000000007E-2</c:v>
                      </c:pt>
                      <c:pt idx="6">
                        <c:v>7.0000000000000007E-2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7.0000000000000007E-2</c:v>
                      </c:pt>
                      <c:pt idx="10">
                        <c:v>7.0000000000000007E-2</c:v>
                      </c:pt>
                      <c:pt idx="11">
                        <c:v>7.0000000000000007E-2</c:v>
                      </c:pt>
                      <c:pt idx="12">
                        <c:v>7.0000000000000007E-2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5BB-4EEC-9A19-6F0A743450E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2024-2025'!$A$104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ln w="317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2024-2025'!$B$98:$N$98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2024-2025'!$B$104:$N$104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8</c:v>
                      </c:pt>
                      <c:pt idx="1">
                        <c:v>8</c:v>
                      </c:pt>
                      <c:pt idx="2">
                        <c:v>5</c:v>
                      </c:pt>
                      <c:pt idx="3">
                        <c:v>4</c:v>
                      </c:pt>
                      <c:pt idx="4">
                        <c:v>2</c:v>
                      </c:pt>
                      <c:pt idx="5">
                        <c:v>7.0000000000000007E-2</c:v>
                      </c:pt>
                      <c:pt idx="6">
                        <c:v>7.0000000000000007E-2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7.0000000000000007E-2</c:v>
                      </c:pt>
                      <c:pt idx="10">
                        <c:v>7.0000000000000007E-2</c:v>
                      </c:pt>
                      <c:pt idx="11">
                        <c:v>7.0000000000000007E-2</c:v>
                      </c:pt>
                      <c:pt idx="12">
                        <c:v>7.0000000000000007E-2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5BB-4EEC-9A19-6F0A743450EB}"/>
                  </c:ext>
                </c:extLst>
              </c15:ser>
            </c15:filteredLineSeries>
          </c:ext>
        </c:extLst>
      </c:lineChart>
      <c:catAx>
        <c:axId val="58125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581251007"/>
        <c:crosses val="autoZero"/>
        <c:auto val="1"/>
        <c:lblAlgn val="ctr"/>
        <c:lblOffset val="100"/>
        <c:noMultiLvlLbl val="0"/>
      </c:catAx>
      <c:valAx>
        <c:axId val="581251007"/>
        <c:scaling>
          <c:orientation val="minMax"/>
          <c:max val="10"/>
        </c:scaling>
        <c:delete val="1"/>
        <c:axPos val="l"/>
        <c:numFmt formatCode="0" sourceLinked="1"/>
        <c:majorTickMark val="out"/>
        <c:minorTickMark val="none"/>
        <c:tickLblPos val="nextTo"/>
        <c:crossAx val="58125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100" b="1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Forces</a:t>
            </a:r>
          </a:p>
          <a:p>
            <a:pPr>
              <a:defRPr sz="120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100" b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2024-2025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775947135658942E-2"/>
          <c:y val="0.28932253269957514"/>
          <c:w val="0.92448105728682117"/>
          <c:h val="0.59347301539725406"/>
        </c:manualLayout>
      </c:layout>
      <c:barChart>
        <c:barDir val="col"/>
        <c:grouping val="clustered"/>
        <c:varyColors val="0"/>
        <c:ser>
          <c:idx val="3"/>
          <c:order val="3"/>
          <c:tx>
            <c:strRef>
              <c:f>'Performance 2024-2025'!$A$102</c:f>
              <c:strCache>
                <c:ptCount val="1"/>
                <c:pt idx="0">
                  <c:v>ACTUAL</c:v>
                </c:pt>
              </c:strCache>
              <c:extLst xmlns:c15="http://schemas.microsoft.com/office/drawing/2012/chart"/>
            </c:strRef>
          </c:tx>
          <c:spPr>
            <a:solidFill>
              <a:srgbClr val="007E7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'Performance 2024-2025'!$B$98:$N$98</c:f>
              <c:strCache>
                <c:ptCount val="13"/>
                <c:pt idx="0">
                  <c:v>2024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  <c:extLst xmlns:c15="http://schemas.microsoft.com/office/drawing/2012/chart"/>
            </c:strRef>
          </c:cat>
          <c:val>
            <c:numRef>
              <c:f>'Performance 2024-2025'!$B$102:$N$102</c:f>
              <c:numCache>
                <c:formatCode>0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7.0000000000000007E-2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4-AE74-4D3A-90FF-09CA60639E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81250527"/>
        <c:axId val="58125100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'Performance 2024-2025'!$A$99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rgbClr val="007E79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2">
                              <a:lumMod val="50000"/>
                            </a:schemeClr>
                          </a:solidFill>
                          <a:latin typeface="Calibri" panose="020F0502020204030204" pitchFamily="34" charset="0"/>
                          <a:ea typeface="Calibri" panose="020F0502020204030204" pitchFamily="34" charset="0"/>
                          <a:cs typeface="Calibri" panose="020F0502020204030204" pitchFamily="34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'Performance 2024-2025'!$B$98:$N$98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'Performance 2024-2025'!$B$99:$N$99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1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1</c:v>
                      </c:pt>
                      <c:pt idx="5">
                        <c:v>2</c:v>
                      </c:pt>
                      <c:pt idx="6">
                        <c:v>1</c:v>
                      </c:pt>
                      <c:pt idx="7">
                        <c:v>7.0000000000000007E-2</c:v>
                      </c:pt>
                      <c:pt idx="8">
                        <c:v>1</c:v>
                      </c:pt>
                      <c:pt idx="9">
                        <c:v>7.0000000000000007E-2</c:v>
                      </c:pt>
                      <c:pt idx="10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AE74-4D3A-90FF-09CA60639ED9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2024-2025'!$A$100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2024-2025'!$B$98:$N$98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2024-2025'!$B$100:$N$100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8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7.0000000000000007E-2</c:v>
                      </c:pt>
                      <c:pt idx="4">
                        <c:v>7.0000000000000007E-2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E74-4D3A-90FF-09CA60639ED9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2024-2025'!$A$101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rgbClr val="007E79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2">
                              <a:lumMod val="50000"/>
                            </a:schemeClr>
                          </a:solidFill>
                          <a:latin typeface="Calibri" panose="020F0502020204030204" pitchFamily="34" charset="0"/>
                          <a:ea typeface="Calibri" panose="020F0502020204030204" pitchFamily="34" charset="0"/>
                          <a:cs typeface="Calibri" panose="020F0502020204030204" pitchFamily="34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2024-2025'!$B$98:$N$98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2024-2025'!$B$101:$N$101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7.0000000000000007E-2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7.0000000000000007E-2</c:v>
                      </c:pt>
                      <c:pt idx="10">
                        <c:v>7.0000000000000007E-2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AE74-4D3A-90FF-09CA60639ED9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7"/>
          <c:order val="7"/>
          <c:tx>
            <c:strRef>
              <c:f>'Performance 2024-2025'!$A$106</c:f>
              <c:strCache>
                <c:ptCount val="1"/>
                <c:pt idx="0">
                  <c:v>PLAN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'Performance 2024-2025'!$B$98:$N$98</c:f>
              <c:strCache>
                <c:ptCount val="13"/>
                <c:pt idx="0">
                  <c:v>2024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  <c:extLst xmlns:c15="http://schemas.microsoft.com/office/drawing/2012/chart"/>
            </c:strRef>
          </c:cat>
          <c:val>
            <c:numRef>
              <c:f>'Performance 2024-2025'!$B$106:$N$106</c:f>
              <c:numCache>
                <c:formatCode>0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7.0000000000000007E-2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7-AE74-4D3A-90FF-09CA60639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1250527"/>
        <c:axId val="581251007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'Performance 2024-2025'!$A$103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ln w="317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'Performance 2024-2025'!$B$98:$N$98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'Performance 2024-2025'!$B$103:$N$103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1</c:v>
                      </c:pt>
                      <c:pt idx="1">
                        <c:v>1</c:v>
                      </c:pt>
                      <c:pt idx="2">
                        <c:v>7.0000000000000007E-2</c:v>
                      </c:pt>
                      <c:pt idx="3">
                        <c:v>7.0000000000000007E-2</c:v>
                      </c:pt>
                      <c:pt idx="4">
                        <c:v>7.0000000000000007E-2</c:v>
                      </c:pt>
                      <c:pt idx="5">
                        <c:v>7.0000000000000007E-2</c:v>
                      </c:pt>
                      <c:pt idx="6">
                        <c:v>7.0000000000000007E-2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7.0000000000000007E-2</c:v>
                      </c:pt>
                      <c:pt idx="10">
                        <c:v>7.0000000000000007E-2</c:v>
                      </c:pt>
                      <c:pt idx="11">
                        <c:v>7.0000000000000007E-2</c:v>
                      </c:pt>
                      <c:pt idx="12">
                        <c:v>7.0000000000000007E-2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AE74-4D3A-90FF-09CA60639ED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2024-2025'!$A$104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ln w="317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2024-2025'!$B$98:$N$98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2024-2025'!$B$104:$N$104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8</c:v>
                      </c:pt>
                      <c:pt idx="1">
                        <c:v>8</c:v>
                      </c:pt>
                      <c:pt idx="2">
                        <c:v>5</c:v>
                      </c:pt>
                      <c:pt idx="3">
                        <c:v>4</c:v>
                      </c:pt>
                      <c:pt idx="4">
                        <c:v>2</c:v>
                      </c:pt>
                      <c:pt idx="5">
                        <c:v>7.0000000000000007E-2</c:v>
                      </c:pt>
                      <c:pt idx="6">
                        <c:v>7.0000000000000007E-2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7.0000000000000007E-2</c:v>
                      </c:pt>
                      <c:pt idx="10">
                        <c:v>7.0000000000000007E-2</c:v>
                      </c:pt>
                      <c:pt idx="11">
                        <c:v>7.0000000000000007E-2</c:v>
                      </c:pt>
                      <c:pt idx="12">
                        <c:v>7.0000000000000007E-2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74-4D3A-90FF-09CA60639ED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2024-2025'!$A$105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ln w="317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2024-2025'!$B$98:$N$98</c15:sqref>
                        </c15:formulaRef>
                      </c:ext>
                    </c:extLst>
                    <c:strCache>
                      <c:ptCount val="13"/>
                      <c:pt idx="0">
                        <c:v>2024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'Performance 2024-2025'!$B$105:$N$105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7.0000000000000007E-2</c:v>
                      </c:pt>
                      <c:pt idx="1">
                        <c:v>7.0000000000000007E-2</c:v>
                      </c:pt>
                      <c:pt idx="2">
                        <c:v>7.0000000000000007E-2</c:v>
                      </c:pt>
                      <c:pt idx="3">
                        <c:v>7.0000000000000007E-2</c:v>
                      </c:pt>
                      <c:pt idx="4">
                        <c:v>7.0000000000000007E-2</c:v>
                      </c:pt>
                      <c:pt idx="5">
                        <c:v>7.0000000000000007E-2</c:v>
                      </c:pt>
                      <c:pt idx="6">
                        <c:v>7.0000000000000007E-2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7.0000000000000007E-2</c:v>
                      </c:pt>
                      <c:pt idx="10">
                        <c:v>7.0000000000000007E-2</c:v>
                      </c:pt>
                      <c:pt idx="11">
                        <c:v>7.0000000000000007E-2</c:v>
                      </c:pt>
                      <c:pt idx="12">
                        <c:v>7.0000000000000007E-2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E74-4D3A-90FF-09CA60639ED9}"/>
                  </c:ext>
                </c:extLst>
              </c15:ser>
            </c15:filteredLineSeries>
          </c:ext>
        </c:extLst>
      </c:lineChart>
      <c:catAx>
        <c:axId val="58125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581251007"/>
        <c:crosses val="autoZero"/>
        <c:auto val="1"/>
        <c:lblAlgn val="ctr"/>
        <c:lblOffset val="100"/>
        <c:noMultiLvlLbl val="0"/>
      </c:catAx>
      <c:valAx>
        <c:axId val="581251007"/>
        <c:scaling>
          <c:orientation val="minMax"/>
          <c:max val="10"/>
        </c:scaling>
        <c:delete val="1"/>
        <c:axPos val="l"/>
        <c:numFmt formatCode="0" sourceLinked="1"/>
        <c:majorTickMark val="out"/>
        <c:minorTickMark val="none"/>
        <c:tickLblPos val="nextTo"/>
        <c:crossAx val="58125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KILN - CTT - CRANE - DOS - SULPHUR MELTER - SLCU</a:t>
            </a:r>
            <a:endParaRPr lang="en-US" b="1"/>
          </a:p>
        </c:rich>
      </c:tx>
      <c:layout>
        <c:manualLayout>
          <c:xMode val="edge"/>
          <c:yMode val="edge"/>
          <c:x val="0.34203908698766705"/>
          <c:y val="1.57880734986619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73122411781860597"/>
        </c:manualLayout>
      </c:layout>
      <c:lineChart>
        <c:grouping val="standard"/>
        <c:varyColors val="0"/>
        <c:ser>
          <c:idx val="0"/>
          <c:order val="0"/>
          <c:tx>
            <c:strRef>
              <c:f>'AFI (mthly)'!$B$6</c:f>
              <c:strCache>
                <c:ptCount val="1"/>
                <c:pt idx="0">
                  <c:v>KILN - CTT - CRANE - DOS - SULPHUR MELTER - SLCU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-3.7455893367325195E-2"/>
                  <c:y val="-4.58465725818592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48E-4AD5-9B93-12832BB0C2F3}"/>
                </c:ext>
              </c:extLst>
            </c:dLbl>
            <c:dLbl>
              <c:idx val="7"/>
              <c:layout>
                <c:manualLayout>
                  <c:x val="-1.1161430232455822E-2"/>
                  <c:y val="-4.58465725818592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48E-4AD5-9B93-12832BB0C2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'AFI (mthly)'!$C$5:$O$5</c:f>
              <c:numCache>
                <c:formatCode>mmm\-yy</c:formatCode>
                <c:ptCount val="13"/>
                <c:pt idx="0" formatCode="General">
                  <c:v>2023</c:v>
                </c:pt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  <c:pt idx="4">
                  <c:v>45383</c:v>
                </c:pt>
                <c:pt idx="5">
                  <c:v>45413</c:v>
                </c:pt>
                <c:pt idx="6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  <c:pt idx="11">
                  <c:v>45620</c:v>
                </c:pt>
                <c:pt idx="12">
                  <c:v>45650</c:v>
                </c:pt>
              </c:numCache>
            </c:numRef>
          </c:cat>
          <c:val>
            <c:numRef>
              <c:f>'AFI (mthly)'!$C$6:$O$6</c:f>
              <c:numCache>
                <c:formatCode>0</c:formatCode>
                <c:ptCount val="13"/>
                <c:pt idx="0">
                  <c:v>101</c:v>
                </c:pt>
                <c:pt idx="1">
                  <c:v>295</c:v>
                </c:pt>
                <c:pt idx="2">
                  <c:v>43</c:v>
                </c:pt>
                <c:pt idx="3">
                  <c:v>43</c:v>
                </c:pt>
                <c:pt idx="4">
                  <c:v>62</c:v>
                </c:pt>
                <c:pt idx="5">
                  <c:v>456</c:v>
                </c:pt>
                <c:pt idx="6">
                  <c:v>2492</c:v>
                </c:pt>
                <c:pt idx="7">
                  <c:v>975</c:v>
                </c:pt>
                <c:pt idx="8">
                  <c:v>739</c:v>
                </c:pt>
                <c:pt idx="9">
                  <c:v>708</c:v>
                </c:pt>
                <c:pt idx="10">
                  <c:v>616</c:v>
                </c:pt>
                <c:pt idx="11">
                  <c:v>516</c:v>
                </c:pt>
                <c:pt idx="12">
                  <c:v>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07-4158-AAA7-B9E20BB7D04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'AFI (mthly)'!$B$7</c15:sqref>
                        </c15:formulaRef>
                      </c:ext>
                    </c:extLst>
                    <c:strCache>
                      <c:ptCount val="1"/>
                      <c:pt idx="0">
                        <c:v>DRYER/COALMILL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ormulaRef>
                          <c15:sqref>'AFI (mthly)'!$C$5:$O$5</c15:sqref>
                        </c15:formulaRef>
                      </c:ext>
                    </c:extLst>
                    <c:numCache>
                      <c:formatCode>mmm\-yy</c:formatCode>
                      <c:ptCount val="13"/>
                      <c:pt idx="0" formatCode="General">
                        <c:v>2023</c:v>
                      </c:pt>
                      <c:pt idx="1">
                        <c:v>45292</c:v>
                      </c:pt>
                      <c:pt idx="2">
                        <c:v>45323</c:v>
                      </c:pt>
                      <c:pt idx="3">
                        <c:v>45352</c:v>
                      </c:pt>
                      <c:pt idx="4">
                        <c:v>45383</c:v>
                      </c:pt>
                      <c:pt idx="5">
                        <c:v>45413</c:v>
                      </c:pt>
                      <c:pt idx="6">
                        <c:v>45444</c:v>
                      </c:pt>
                      <c:pt idx="7">
                        <c:v>45474</c:v>
                      </c:pt>
                      <c:pt idx="8">
                        <c:v>45505</c:v>
                      </c:pt>
                      <c:pt idx="9">
                        <c:v>45536</c:v>
                      </c:pt>
                      <c:pt idx="10">
                        <c:v>45566</c:v>
                      </c:pt>
                      <c:pt idx="11">
                        <c:v>45620</c:v>
                      </c:pt>
                      <c:pt idx="12">
                        <c:v>45650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'AFI (mthly)'!$C$7:$O$7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65</c:v>
                      </c:pt>
                      <c:pt idx="1">
                        <c:v>55</c:v>
                      </c:pt>
                      <c:pt idx="2">
                        <c:v>84</c:v>
                      </c:pt>
                      <c:pt idx="3">
                        <c:v>74</c:v>
                      </c:pt>
                      <c:pt idx="4">
                        <c:v>109</c:v>
                      </c:pt>
                      <c:pt idx="5">
                        <c:v>218</c:v>
                      </c:pt>
                      <c:pt idx="6">
                        <c:v>218</c:v>
                      </c:pt>
                      <c:pt idx="7">
                        <c:v>218</c:v>
                      </c:pt>
                      <c:pt idx="8">
                        <c:v>450</c:v>
                      </c:pt>
                      <c:pt idx="9">
                        <c:v>450</c:v>
                      </c:pt>
                      <c:pt idx="10">
                        <c:v>437</c:v>
                      </c:pt>
                      <c:pt idx="11">
                        <c:v>317</c:v>
                      </c:pt>
                      <c:pt idx="12">
                        <c:v>306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E407-4158-AAA7-B9E20BB7D04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'AFI (mthly)'!$B$8</c15:sqref>
                        </c15:formulaRef>
                      </c:ext>
                    </c:extLst>
                    <c:strCache>
                      <c:ptCount val="1"/>
                      <c:pt idx="0">
                        <c:v>FURNACE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dLbl>
                    <c:idx val="0"/>
                    <c:layout>
                      <c:manualLayout>
                        <c:x val="-8.475413572369828E-3"/>
                        <c:y val="-1.109109001166444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5-E407-4158-AAA7-B9E20BB7D045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'AFI (mthly)'!$C$5:$O$5</c15:sqref>
                        </c15:formulaRef>
                      </c:ext>
                    </c:extLst>
                    <c:numCache>
                      <c:formatCode>mmm\-yy</c:formatCode>
                      <c:ptCount val="13"/>
                      <c:pt idx="0" formatCode="General">
                        <c:v>2023</c:v>
                      </c:pt>
                      <c:pt idx="1">
                        <c:v>45292</c:v>
                      </c:pt>
                      <c:pt idx="2">
                        <c:v>45323</c:v>
                      </c:pt>
                      <c:pt idx="3">
                        <c:v>45352</c:v>
                      </c:pt>
                      <c:pt idx="4">
                        <c:v>45383</c:v>
                      </c:pt>
                      <c:pt idx="5">
                        <c:v>45413</c:v>
                      </c:pt>
                      <c:pt idx="6">
                        <c:v>45444</c:v>
                      </c:pt>
                      <c:pt idx="7">
                        <c:v>45474</c:v>
                      </c:pt>
                      <c:pt idx="8">
                        <c:v>45505</c:v>
                      </c:pt>
                      <c:pt idx="9">
                        <c:v>45536</c:v>
                      </c:pt>
                      <c:pt idx="10">
                        <c:v>45566</c:v>
                      </c:pt>
                      <c:pt idx="11">
                        <c:v>45620</c:v>
                      </c:pt>
                      <c:pt idx="12">
                        <c:v>45650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'AFI (mthly)'!$C$8:$O$8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4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407-4158-AAA7-B9E20BB7D04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'AFI (mthly)'!$B$9</c15:sqref>
                        </c15:formulaRef>
                      </c:ext>
                    </c:extLst>
                    <c:strCache>
                      <c:ptCount val="1"/>
                      <c:pt idx="0">
                        <c:v>CONVERTER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2.0246911294959619E-2"/>
                        <c:y val="-1.3231416683475725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7-E407-4158-AAA7-B9E20BB7D045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'AFI (mthly)'!$C$5:$O$5</c15:sqref>
                        </c15:formulaRef>
                      </c:ext>
                    </c:extLst>
                    <c:numCache>
                      <c:formatCode>mmm\-yy</c:formatCode>
                      <c:ptCount val="13"/>
                      <c:pt idx="0" formatCode="General">
                        <c:v>2023</c:v>
                      </c:pt>
                      <c:pt idx="1">
                        <c:v>45292</c:v>
                      </c:pt>
                      <c:pt idx="2">
                        <c:v>45323</c:v>
                      </c:pt>
                      <c:pt idx="3">
                        <c:v>45352</c:v>
                      </c:pt>
                      <c:pt idx="4">
                        <c:v>45383</c:v>
                      </c:pt>
                      <c:pt idx="5">
                        <c:v>45413</c:v>
                      </c:pt>
                      <c:pt idx="6">
                        <c:v>45444</c:v>
                      </c:pt>
                      <c:pt idx="7">
                        <c:v>45474</c:v>
                      </c:pt>
                      <c:pt idx="8">
                        <c:v>45505</c:v>
                      </c:pt>
                      <c:pt idx="9">
                        <c:v>45536</c:v>
                      </c:pt>
                      <c:pt idx="10">
                        <c:v>45566</c:v>
                      </c:pt>
                      <c:pt idx="11">
                        <c:v>45620</c:v>
                      </c:pt>
                      <c:pt idx="12">
                        <c:v>45650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'AFI (mthly)'!$C$9:$O$9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4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5</c:v>
                      </c:pt>
                      <c:pt idx="12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407-4158-AAA7-B9E20BB7D045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DRYER/COALMILL</a:t>
            </a:r>
            <a:endParaRPr lang="en-US" b="1"/>
          </a:p>
        </c:rich>
      </c:tx>
      <c:layout>
        <c:manualLayout>
          <c:xMode val="edge"/>
          <c:yMode val="edge"/>
          <c:x val="0.44064335511828456"/>
          <c:y val="1.83373042715519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73122411781860597"/>
        </c:manualLayout>
      </c:layout>
      <c:lineChart>
        <c:grouping val="standard"/>
        <c:varyColors val="0"/>
        <c:ser>
          <c:idx val="1"/>
          <c:order val="1"/>
          <c:tx>
            <c:strRef>
              <c:f>'AFI (mthly)'!$B$7</c:f>
              <c:strCache>
                <c:ptCount val="1"/>
                <c:pt idx="0">
                  <c:v>DRYER/COALMILL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'AFI (mthly)'!$C$5:$O$5</c:f>
              <c:numCache>
                <c:formatCode>mmm\-yy</c:formatCode>
                <c:ptCount val="13"/>
                <c:pt idx="0" formatCode="General">
                  <c:v>2023</c:v>
                </c:pt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  <c:pt idx="4">
                  <c:v>45383</c:v>
                </c:pt>
                <c:pt idx="5">
                  <c:v>45413</c:v>
                </c:pt>
                <c:pt idx="6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  <c:pt idx="11">
                  <c:v>45620</c:v>
                </c:pt>
                <c:pt idx="12">
                  <c:v>45650</c:v>
                </c:pt>
              </c:numCache>
            </c:numRef>
          </c:cat>
          <c:val>
            <c:numRef>
              <c:f>'AFI (mthly)'!$C$7:$O$7</c:f>
              <c:numCache>
                <c:formatCode>0</c:formatCode>
                <c:ptCount val="13"/>
                <c:pt idx="0">
                  <c:v>65</c:v>
                </c:pt>
                <c:pt idx="1">
                  <c:v>55</c:v>
                </c:pt>
                <c:pt idx="2">
                  <c:v>84</c:v>
                </c:pt>
                <c:pt idx="3">
                  <c:v>74</c:v>
                </c:pt>
                <c:pt idx="4">
                  <c:v>109</c:v>
                </c:pt>
                <c:pt idx="5">
                  <c:v>218</c:v>
                </c:pt>
                <c:pt idx="6">
                  <c:v>218</c:v>
                </c:pt>
                <c:pt idx="7">
                  <c:v>218</c:v>
                </c:pt>
                <c:pt idx="8">
                  <c:v>450</c:v>
                </c:pt>
                <c:pt idx="9">
                  <c:v>450</c:v>
                </c:pt>
                <c:pt idx="10">
                  <c:v>437</c:v>
                </c:pt>
                <c:pt idx="11">
                  <c:v>317</c:v>
                </c:pt>
                <c:pt idx="12">
                  <c:v>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88-4361-81EA-18744573883C}"/>
            </c:ext>
          </c:extLst>
        </c:ser>
        <c:ser>
          <c:idx val="4"/>
          <c:order val="4"/>
          <c:tx>
            <c:strRef>
              <c:f>'AFI (mthly)'!$B$10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'AFI (mthly)'!$C$5:$O$5</c:f>
              <c:numCache>
                <c:formatCode>mmm\-yy</c:formatCode>
                <c:ptCount val="13"/>
                <c:pt idx="0" formatCode="General">
                  <c:v>2023</c:v>
                </c:pt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  <c:pt idx="4">
                  <c:v>45383</c:v>
                </c:pt>
                <c:pt idx="5">
                  <c:v>45413</c:v>
                </c:pt>
                <c:pt idx="6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  <c:pt idx="11">
                  <c:v>45620</c:v>
                </c:pt>
                <c:pt idx="12">
                  <c:v>45650</c:v>
                </c:pt>
              </c:numCache>
            </c:numRef>
          </c:cat>
          <c:val>
            <c:numRef>
              <c:f>'AFI (mthly)'!$C$10:$O$10</c:f>
              <c:numCache>
                <c:formatCode>General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1E-4DC3-AFCC-07FEBAEA213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'AFI (mthly)'!$B$6</c15:sqref>
                        </c15:formulaRef>
                      </c:ext>
                    </c:extLst>
                    <c:strCache>
                      <c:ptCount val="1"/>
                      <c:pt idx="0">
                        <c:v>KILN - CTT - CRANE - DOS - SULPHUR MELTER - SLCU</c:v>
                      </c:pt>
                    </c:strCache>
                  </c:strRef>
                </c:tx>
                <c:spPr>
                  <a:ln w="28575" cap="rnd">
                    <a:solidFill>
                      <a:schemeClr val="bg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bg1">
                        <a:lumMod val="50000"/>
                      </a:schemeClr>
                    </a:solidFill>
                    <a:ln w="9525">
                      <a:solidFill>
                        <a:schemeClr val="bg1">
                          <a:lumMod val="5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0"/>
                    <c:layout>
                      <c:manualLayout>
                        <c:x val="-1.1039641301968465E-2"/>
                        <c:y val="-2.366801624969516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CC88-4361-81EA-18744573883C}"/>
                      </c:ext>
                    </c:extLst>
                  </c:dLbl>
                  <c:dLbl>
                    <c:idx val="1"/>
                    <c:layout>
                      <c:manualLayout>
                        <c:x val="-1.2872325044312632E-2"/>
                        <c:y val="-2.757483845716998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CC88-4361-81EA-18744573883C}"/>
                      </c:ext>
                    </c:extLst>
                  </c:dLbl>
                  <c:dLbl>
                    <c:idx val="8"/>
                    <c:layout>
                      <c:manualLayout>
                        <c:x val="-1.2570656868442932E-2"/>
                        <c:y val="-2.742441668571113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CC88-4361-81EA-18744573883C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'AFI (mthly)'!$C$5:$O$5</c15:sqref>
                        </c15:formulaRef>
                      </c:ext>
                    </c:extLst>
                    <c:numCache>
                      <c:formatCode>mmm\-yy</c:formatCode>
                      <c:ptCount val="13"/>
                      <c:pt idx="0" formatCode="General">
                        <c:v>2023</c:v>
                      </c:pt>
                      <c:pt idx="1">
                        <c:v>45292</c:v>
                      </c:pt>
                      <c:pt idx="2">
                        <c:v>45323</c:v>
                      </c:pt>
                      <c:pt idx="3">
                        <c:v>45352</c:v>
                      </c:pt>
                      <c:pt idx="4">
                        <c:v>45383</c:v>
                      </c:pt>
                      <c:pt idx="5">
                        <c:v>45413</c:v>
                      </c:pt>
                      <c:pt idx="6">
                        <c:v>45444</c:v>
                      </c:pt>
                      <c:pt idx="7">
                        <c:v>45474</c:v>
                      </c:pt>
                      <c:pt idx="8">
                        <c:v>45505</c:v>
                      </c:pt>
                      <c:pt idx="9">
                        <c:v>45536</c:v>
                      </c:pt>
                      <c:pt idx="10">
                        <c:v>45566</c:v>
                      </c:pt>
                      <c:pt idx="11">
                        <c:v>45620</c:v>
                      </c:pt>
                      <c:pt idx="12">
                        <c:v>45650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'AFI (mthly)'!$C$6:$O$6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101</c:v>
                      </c:pt>
                      <c:pt idx="1">
                        <c:v>295</c:v>
                      </c:pt>
                      <c:pt idx="2">
                        <c:v>43</c:v>
                      </c:pt>
                      <c:pt idx="3">
                        <c:v>43</c:v>
                      </c:pt>
                      <c:pt idx="4">
                        <c:v>62</c:v>
                      </c:pt>
                      <c:pt idx="5">
                        <c:v>456</c:v>
                      </c:pt>
                      <c:pt idx="6">
                        <c:v>2492</c:v>
                      </c:pt>
                      <c:pt idx="7">
                        <c:v>975</c:v>
                      </c:pt>
                      <c:pt idx="8">
                        <c:v>739</c:v>
                      </c:pt>
                      <c:pt idx="9">
                        <c:v>708</c:v>
                      </c:pt>
                      <c:pt idx="10">
                        <c:v>616</c:v>
                      </c:pt>
                      <c:pt idx="11">
                        <c:v>516</c:v>
                      </c:pt>
                      <c:pt idx="12">
                        <c:v>503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CC88-4361-81EA-18744573883C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'AFI (mthly)'!$B$8</c15:sqref>
                        </c15:formulaRef>
                      </c:ext>
                    </c:extLst>
                    <c:strCache>
                      <c:ptCount val="1"/>
                      <c:pt idx="0">
                        <c:v>FURNACE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dLbl>
                    <c:idx val="0"/>
                    <c:layout>
                      <c:manualLayout>
                        <c:x val="-8.475413572369828E-3"/>
                        <c:y val="-1.109109001166444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5-CC88-4361-81EA-18744573883C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'AFI (mthly)'!$C$5:$O$5</c15:sqref>
                        </c15:formulaRef>
                      </c:ext>
                    </c:extLst>
                    <c:numCache>
                      <c:formatCode>mmm\-yy</c:formatCode>
                      <c:ptCount val="13"/>
                      <c:pt idx="0" formatCode="General">
                        <c:v>2023</c:v>
                      </c:pt>
                      <c:pt idx="1">
                        <c:v>45292</c:v>
                      </c:pt>
                      <c:pt idx="2">
                        <c:v>45323</c:v>
                      </c:pt>
                      <c:pt idx="3">
                        <c:v>45352</c:v>
                      </c:pt>
                      <c:pt idx="4">
                        <c:v>45383</c:v>
                      </c:pt>
                      <c:pt idx="5">
                        <c:v>45413</c:v>
                      </c:pt>
                      <c:pt idx="6">
                        <c:v>45444</c:v>
                      </c:pt>
                      <c:pt idx="7">
                        <c:v>45474</c:v>
                      </c:pt>
                      <c:pt idx="8">
                        <c:v>45505</c:v>
                      </c:pt>
                      <c:pt idx="9">
                        <c:v>45536</c:v>
                      </c:pt>
                      <c:pt idx="10">
                        <c:v>45566</c:v>
                      </c:pt>
                      <c:pt idx="11">
                        <c:v>45620</c:v>
                      </c:pt>
                      <c:pt idx="12">
                        <c:v>45650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'AFI (mthly)'!$C$8:$O$8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4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C88-4361-81EA-18744573883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'AFI (mthly)'!$B$9</c15:sqref>
                        </c15:formulaRef>
                      </c:ext>
                    </c:extLst>
                    <c:strCache>
                      <c:ptCount val="1"/>
                      <c:pt idx="0">
                        <c:v>CONVERTER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2.0246911294959619E-2"/>
                        <c:y val="-1.3231416683475725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7-CC88-4361-81EA-18744573883C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'AFI (mthly)'!$C$5:$O$5</c15:sqref>
                        </c15:formulaRef>
                      </c:ext>
                    </c:extLst>
                    <c:numCache>
                      <c:formatCode>mmm\-yy</c:formatCode>
                      <c:ptCount val="13"/>
                      <c:pt idx="0" formatCode="General">
                        <c:v>2023</c:v>
                      </c:pt>
                      <c:pt idx="1">
                        <c:v>45292</c:v>
                      </c:pt>
                      <c:pt idx="2">
                        <c:v>45323</c:v>
                      </c:pt>
                      <c:pt idx="3">
                        <c:v>45352</c:v>
                      </c:pt>
                      <c:pt idx="4">
                        <c:v>45383</c:v>
                      </c:pt>
                      <c:pt idx="5">
                        <c:v>45413</c:v>
                      </c:pt>
                      <c:pt idx="6">
                        <c:v>45444</c:v>
                      </c:pt>
                      <c:pt idx="7">
                        <c:v>45474</c:v>
                      </c:pt>
                      <c:pt idx="8">
                        <c:v>45505</c:v>
                      </c:pt>
                      <c:pt idx="9">
                        <c:v>45536</c:v>
                      </c:pt>
                      <c:pt idx="10">
                        <c:v>45566</c:v>
                      </c:pt>
                      <c:pt idx="11">
                        <c:v>45620</c:v>
                      </c:pt>
                      <c:pt idx="12">
                        <c:v>45650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'AFI (mthly)'!$C$9:$O$9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4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5</c:v>
                      </c:pt>
                      <c:pt idx="12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C88-4361-81EA-18744573883C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FURNACE</a:t>
            </a:r>
          </a:p>
        </c:rich>
      </c:tx>
      <c:layout>
        <c:manualLayout>
          <c:xMode val="edge"/>
          <c:yMode val="edge"/>
          <c:x val="0.44064335511828456"/>
          <c:y val="1.83373042715519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73122411781860597"/>
        </c:manualLayout>
      </c:layout>
      <c:lineChart>
        <c:grouping val="standard"/>
        <c:varyColors val="0"/>
        <c:ser>
          <c:idx val="2"/>
          <c:order val="2"/>
          <c:tx>
            <c:strRef>
              <c:f>'AFI (mthly)'!$B$8</c:f>
              <c:strCache>
                <c:ptCount val="1"/>
                <c:pt idx="0">
                  <c:v>FURNACE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2857802683519048E-2"/>
                  <c:y val="-4.42301632065644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D04-4F41-9756-B086DB2671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'AFI (mthly)'!$C$5:$O$5</c:f>
              <c:numCache>
                <c:formatCode>mmm\-yy</c:formatCode>
                <c:ptCount val="13"/>
                <c:pt idx="0" formatCode="General">
                  <c:v>2023</c:v>
                </c:pt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  <c:pt idx="4">
                  <c:v>45383</c:v>
                </c:pt>
                <c:pt idx="5">
                  <c:v>45413</c:v>
                </c:pt>
                <c:pt idx="6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  <c:pt idx="11">
                  <c:v>45620</c:v>
                </c:pt>
                <c:pt idx="12">
                  <c:v>45650</c:v>
                </c:pt>
              </c:numCache>
            </c:numRef>
          </c:cat>
          <c:val>
            <c:numRef>
              <c:f>'AFI (mthly)'!$C$8:$O$8</c:f>
              <c:numCache>
                <c:formatCode>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04-4F41-9756-B086DB26711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'AFI (mthly)'!$B$6</c15:sqref>
                        </c15:formulaRef>
                      </c:ext>
                    </c:extLst>
                    <c:strCache>
                      <c:ptCount val="1"/>
                      <c:pt idx="0">
                        <c:v>KILN - CTT - CRANE - DOS - SULPHUR MELTER - SLCU</c:v>
                      </c:pt>
                    </c:strCache>
                  </c:strRef>
                </c:tx>
                <c:spPr>
                  <a:ln w="28575" cap="rnd">
                    <a:solidFill>
                      <a:schemeClr val="bg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bg1">
                        <a:lumMod val="50000"/>
                      </a:schemeClr>
                    </a:solidFill>
                    <a:ln w="9525">
                      <a:solidFill>
                        <a:schemeClr val="bg1">
                          <a:lumMod val="5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0"/>
                    <c:layout>
                      <c:manualLayout>
                        <c:x val="-1.1039641301968465E-2"/>
                        <c:y val="-2.366801624969516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4D04-4F41-9756-B086DB267110}"/>
                      </c:ext>
                    </c:extLst>
                  </c:dLbl>
                  <c:dLbl>
                    <c:idx val="1"/>
                    <c:layout>
                      <c:manualLayout>
                        <c:x val="-1.2872325044312632E-2"/>
                        <c:y val="-2.757483845716998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4D04-4F41-9756-B086DB267110}"/>
                      </c:ext>
                    </c:extLst>
                  </c:dLbl>
                  <c:dLbl>
                    <c:idx val="8"/>
                    <c:layout>
                      <c:manualLayout>
                        <c:x val="-1.2570656868442932E-2"/>
                        <c:y val="-2.742441668571113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4D04-4F41-9756-B086DB26711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'AFI (mthly)'!$C$5:$O$5</c15:sqref>
                        </c15:formulaRef>
                      </c:ext>
                    </c:extLst>
                    <c:numCache>
                      <c:formatCode>mmm\-yy</c:formatCode>
                      <c:ptCount val="13"/>
                      <c:pt idx="0" formatCode="General">
                        <c:v>2023</c:v>
                      </c:pt>
                      <c:pt idx="1">
                        <c:v>45292</c:v>
                      </c:pt>
                      <c:pt idx="2">
                        <c:v>45323</c:v>
                      </c:pt>
                      <c:pt idx="3">
                        <c:v>45352</c:v>
                      </c:pt>
                      <c:pt idx="4">
                        <c:v>45383</c:v>
                      </c:pt>
                      <c:pt idx="5">
                        <c:v>45413</c:v>
                      </c:pt>
                      <c:pt idx="6">
                        <c:v>45444</c:v>
                      </c:pt>
                      <c:pt idx="7">
                        <c:v>45474</c:v>
                      </c:pt>
                      <c:pt idx="8">
                        <c:v>45505</c:v>
                      </c:pt>
                      <c:pt idx="9">
                        <c:v>45536</c:v>
                      </c:pt>
                      <c:pt idx="10">
                        <c:v>45566</c:v>
                      </c:pt>
                      <c:pt idx="11">
                        <c:v>45620</c:v>
                      </c:pt>
                      <c:pt idx="12">
                        <c:v>45650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'AFI (mthly)'!$C$6:$O$6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101</c:v>
                      </c:pt>
                      <c:pt idx="1">
                        <c:v>295</c:v>
                      </c:pt>
                      <c:pt idx="2">
                        <c:v>43</c:v>
                      </c:pt>
                      <c:pt idx="3">
                        <c:v>43</c:v>
                      </c:pt>
                      <c:pt idx="4">
                        <c:v>62</c:v>
                      </c:pt>
                      <c:pt idx="5">
                        <c:v>456</c:v>
                      </c:pt>
                      <c:pt idx="6">
                        <c:v>2492</c:v>
                      </c:pt>
                      <c:pt idx="7">
                        <c:v>975</c:v>
                      </c:pt>
                      <c:pt idx="8">
                        <c:v>739</c:v>
                      </c:pt>
                      <c:pt idx="9">
                        <c:v>708</c:v>
                      </c:pt>
                      <c:pt idx="10">
                        <c:v>616</c:v>
                      </c:pt>
                      <c:pt idx="11">
                        <c:v>516</c:v>
                      </c:pt>
                      <c:pt idx="12">
                        <c:v>503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4D04-4F41-9756-B086DB26711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'AFI (mthly)'!$B$7</c15:sqref>
                        </c15:formulaRef>
                      </c:ext>
                    </c:extLst>
                    <c:strCache>
                      <c:ptCount val="1"/>
                      <c:pt idx="0">
                        <c:v>DRYER/COALMILL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'AFI (mthly)'!$C$5:$O$5</c15:sqref>
                        </c15:formulaRef>
                      </c:ext>
                    </c:extLst>
                    <c:numCache>
                      <c:formatCode>mmm\-yy</c:formatCode>
                      <c:ptCount val="13"/>
                      <c:pt idx="0" formatCode="General">
                        <c:v>2023</c:v>
                      </c:pt>
                      <c:pt idx="1">
                        <c:v>45292</c:v>
                      </c:pt>
                      <c:pt idx="2">
                        <c:v>45323</c:v>
                      </c:pt>
                      <c:pt idx="3">
                        <c:v>45352</c:v>
                      </c:pt>
                      <c:pt idx="4">
                        <c:v>45383</c:v>
                      </c:pt>
                      <c:pt idx="5">
                        <c:v>45413</c:v>
                      </c:pt>
                      <c:pt idx="6">
                        <c:v>45444</c:v>
                      </c:pt>
                      <c:pt idx="7">
                        <c:v>45474</c:v>
                      </c:pt>
                      <c:pt idx="8">
                        <c:v>45505</c:v>
                      </c:pt>
                      <c:pt idx="9">
                        <c:v>45536</c:v>
                      </c:pt>
                      <c:pt idx="10">
                        <c:v>45566</c:v>
                      </c:pt>
                      <c:pt idx="11">
                        <c:v>45620</c:v>
                      </c:pt>
                      <c:pt idx="12">
                        <c:v>45650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'AFI (mthly)'!$C$7:$O$7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65</c:v>
                      </c:pt>
                      <c:pt idx="1">
                        <c:v>55</c:v>
                      </c:pt>
                      <c:pt idx="2">
                        <c:v>84</c:v>
                      </c:pt>
                      <c:pt idx="3">
                        <c:v>74</c:v>
                      </c:pt>
                      <c:pt idx="4">
                        <c:v>109</c:v>
                      </c:pt>
                      <c:pt idx="5">
                        <c:v>218</c:v>
                      </c:pt>
                      <c:pt idx="6">
                        <c:v>218</c:v>
                      </c:pt>
                      <c:pt idx="7">
                        <c:v>218</c:v>
                      </c:pt>
                      <c:pt idx="8">
                        <c:v>450</c:v>
                      </c:pt>
                      <c:pt idx="9">
                        <c:v>450</c:v>
                      </c:pt>
                      <c:pt idx="10">
                        <c:v>437</c:v>
                      </c:pt>
                      <c:pt idx="11">
                        <c:v>317</c:v>
                      </c:pt>
                      <c:pt idx="12">
                        <c:v>306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D04-4F41-9756-B086DB26711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'AFI (mthly)'!$B$9</c15:sqref>
                        </c15:formulaRef>
                      </c:ext>
                    </c:extLst>
                    <c:strCache>
                      <c:ptCount val="1"/>
                      <c:pt idx="0">
                        <c:v>CONVERTER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2.0246911294959619E-2"/>
                        <c:y val="-1.3231416683475725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7-4D04-4F41-9756-B086DB26711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'AFI (mthly)'!$C$5:$O$5</c15:sqref>
                        </c15:formulaRef>
                      </c:ext>
                    </c:extLst>
                    <c:numCache>
                      <c:formatCode>mmm\-yy</c:formatCode>
                      <c:ptCount val="13"/>
                      <c:pt idx="0" formatCode="General">
                        <c:v>2023</c:v>
                      </c:pt>
                      <c:pt idx="1">
                        <c:v>45292</c:v>
                      </c:pt>
                      <c:pt idx="2">
                        <c:v>45323</c:v>
                      </c:pt>
                      <c:pt idx="3">
                        <c:v>45352</c:v>
                      </c:pt>
                      <c:pt idx="4">
                        <c:v>45383</c:v>
                      </c:pt>
                      <c:pt idx="5">
                        <c:v>45413</c:v>
                      </c:pt>
                      <c:pt idx="6">
                        <c:v>45444</c:v>
                      </c:pt>
                      <c:pt idx="7">
                        <c:v>45474</c:v>
                      </c:pt>
                      <c:pt idx="8">
                        <c:v>45505</c:v>
                      </c:pt>
                      <c:pt idx="9">
                        <c:v>45536</c:v>
                      </c:pt>
                      <c:pt idx="10">
                        <c:v>45566</c:v>
                      </c:pt>
                      <c:pt idx="11">
                        <c:v>45620</c:v>
                      </c:pt>
                      <c:pt idx="12">
                        <c:v>45650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'AFI (mthly)'!$C$9:$O$9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4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5</c:v>
                      </c:pt>
                      <c:pt idx="12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D04-4F41-9756-B086DB267110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CONVERTER</a:t>
            </a:r>
          </a:p>
        </c:rich>
      </c:tx>
      <c:layout>
        <c:manualLayout>
          <c:xMode val="edge"/>
          <c:yMode val="edge"/>
          <c:x val="0.46255540773067566"/>
          <c:y val="1.83373042715519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73122411781860597"/>
        </c:manualLayout>
      </c:layout>
      <c:lineChart>
        <c:grouping val="standard"/>
        <c:varyColors val="0"/>
        <c:ser>
          <c:idx val="3"/>
          <c:order val="3"/>
          <c:tx>
            <c:strRef>
              <c:f>'AFI (mthly)'!$B$9</c:f>
              <c:strCache>
                <c:ptCount val="1"/>
                <c:pt idx="0">
                  <c:v>CONVERTER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-1.6960545864023204E-2"/>
                  <c:y val="-4.88317350952933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16C-4A4A-807D-248DDAD25679}"/>
                </c:ext>
              </c:extLst>
            </c:dLbl>
            <c:dLbl>
              <c:idx val="9"/>
              <c:layout>
                <c:manualLayout>
                  <c:x val="-7.7348098696222228E-3"/>
                  <c:y val="-4.63734695733808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F27-405A-B588-C4438DA595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'AFI (mthly)'!$C$5:$O$5</c:f>
              <c:numCache>
                <c:formatCode>mmm\-yy</c:formatCode>
                <c:ptCount val="13"/>
                <c:pt idx="0" formatCode="General">
                  <c:v>2023</c:v>
                </c:pt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  <c:pt idx="4">
                  <c:v>45383</c:v>
                </c:pt>
                <c:pt idx="5">
                  <c:v>45413</c:v>
                </c:pt>
                <c:pt idx="6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  <c:pt idx="11">
                  <c:v>45620</c:v>
                </c:pt>
                <c:pt idx="12">
                  <c:v>45650</c:v>
                </c:pt>
              </c:numCache>
            </c:numRef>
          </c:cat>
          <c:val>
            <c:numRef>
              <c:f>'AFI (mthly)'!$C$9:$O$9</c:f>
              <c:numCache>
                <c:formatCode>0</c:formatCode>
                <c:ptCount val="13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1</c:v>
                </c:pt>
                <c:pt idx="10">
                  <c:v>1</c:v>
                </c:pt>
                <c:pt idx="11">
                  <c:v>5</c:v>
                </c:pt>
                <c:pt idx="1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C-4A4A-807D-248DDAD2567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'AFI (mthly)'!$B$6</c15:sqref>
                        </c15:formulaRef>
                      </c:ext>
                    </c:extLst>
                    <c:strCache>
                      <c:ptCount val="1"/>
                      <c:pt idx="0">
                        <c:v>KILN - CTT - CRANE - DOS - SULPHUR MELTER - SLCU</c:v>
                      </c:pt>
                    </c:strCache>
                  </c:strRef>
                </c:tx>
                <c:spPr>
                  <a:ln w="28575" cap="rnd">
                    <a:solidFill>
                      <a:schemeClr val="bg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bg1">
                        <a:lumMod val="50000"/>
                      </a:schemeClr>
                    </a:solidFill>
                    <a:ln w="9525">
                      <a:solidFill>
                        <a:schemeClr val="bg1">
                          <a:lumMod val="5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0"/>
                    <c:layout>
                      <c:manualLayout>
                        <c:x val="-1.1039641301968465E-2"/>
                        <c:y val="-2.366801624969516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816C-4A4A-807D-248DDAD25679}"/>
                      </c:ext>
                    </c:extLst>
                  </c:dLbl>
                  <c:dLbl>
                    <c:idx val="1"/>
                    <c:layout>
                      <c:manualLayout>
                        <c:x val="-1.2872325044312632E-2"/>
                        <c:y val="-2.757483845716998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816C-4A4A-807D-248DDAD25679}"/>
                      </c:ext>
                    </c:extLst>
                  </c:dLbl>
                  <c:dLbl>
                    <c:idx val="8"/>
                    <c:layout>
                      <c:manualLayout>
                        <c:x val="-1.2570656868442932E-2"/>
                        <c:y val="-2.742441668571113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816C-4A4A-807D-248DDAD2567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'AFI (mthly)'!$C$5:$O$5</c15:sqref>
                        </c15:formulaRef>
                      </c:ext>
                    </c:extLst>
                    <c:numCache>
                      <c:formatCode>mmm\-yy</c:formatCode>
                      <c:ptCount val="13"/>
                      <c:pt idx="0" formatCode="General">
                        <c:v>2023</c:v>
                      </c:pt>
                      <c:pt idx="1">
                        <c:v>45292</c:v>
                      </c:pt>
                      <c:pt idx="2">
                        <c:v>45323</c:v>
                      </c:pt>
                      <c:pt idx="3">
                        <c:v>45352</c:v>
                      </c:pt>
                      <c:pt idx="4">
                        <c:v>45383</c:v>
                      </c:pt>
                      <c:pt idx="5">
                        <c:v>45413</c:v>
                      </c:pt>
                      <c:pt idx="6">
                        <c:v>45444</c:v>
                      </c:pt>
                      <c:pt idx="7">
                        <c:v>45474</c:v>
                      </c:pt>
                      <c:pt idx="8">
                        <c:v>45505</c:v>
                      </c:pt>
                      <c:pt idx="9">
                        <c:v>45536</c:v>
                      </c:pt>
                      <c:pt idx="10">
                        <c:v>45566</c:v>
                      </c:pt>
                      <c:pt idx="11">
                        <c:v>45620</c:v>
                      </c:pt>
                      <c:pt idx="12">
                        <c:v>45650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'AFI (mthly)'!$C$6:$O$6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101</c:v>
                      </c:pt>
                      <c:pt idx="1">
                        <c:v>295</c:v>
                      </c:pt>
                      <c:pt idx="2">
                        <c:v>43</c:v>
                      </c:pt>
                      <c:pt idx="3">
                        <c:v>43</c:v>
                      </c:pt>
                      <c:pt idx="4">
                        <c:v>62</c:v>
                      </c:pt>
                      <c:pt idx="5">
                        <c:v>456</c:v>
                      </c:pt>
                      <c:pt idx="6">
                        <c:v>2492</c:v>
                      </c:pt>
                      <c:pt idx="7">
                        <c:v>975</c:v>
                      </c:pt>
                      <c:pt idx="8">
                        <c:v>739</c:v>
                      </c:pt>
                      <c:pt idx="9">
                        <c:v>708</c:v>
                      </c:pt>
                      <c:pt idx="10">
                        <c:v>616</c:v>
                      </c:pt>
                      <c:pt idx="11">
                        <c:v>516</c:v>
                      </c:pt>
                      <c:pt idx="12">
                        <c:v>503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816C-4A4A-807D-248DDAD2567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'AFI (mthly)'!$B$7</c15:sqref>
                        </c15:formulaRef>
                      </c:ext>
                    </c:extLst>
                    <c:strCache>
                      <c:ptCount val="1"/>
                      <c:pt idx="0">
                        <c:v>DRYER/COALMILL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'AFI (mthly)'!$C$5:$O$5</c15:sqref>
                        </c15:formulaRef>
                      </c:ext>
                    </c:extLst>
                    <c:numCache>
                      <c:formatCode>mmm\-yy</c:formatCode>
                      <c:ptCount val="13"/>
                      <c:pt idx="0" formatCode="General">
                        <c:v>2023</c:v>
                      </c:pt>
                      <c:pt idx="1">
                        <c:v>45292</c:v>
                      </c:pt>
                      <c:pt idx="2">
                        <c:v>45323</c:v>
                      </c:pt>
                      <c:pt idx="3">
                        <c:v>45352</c:v>
                      </c:pt>
                      <c:pt idx="4">
                        <c:v>45383</c:v>
                      </c:pt>
                      <c:pt idx="5">
                        <c:v>45413</c:v>
                      </c:pt>
                      <c:pt idx="6">
                        <c:v>45444</c:v>
                      </c:pt>
                      <c:pt idx="7">
                        <c:v>45474</c:v>
                      </c:pt>
                      <c:pt idx="8">
                        <c:v>45505</c:v>
                      </c:pt>
                      <c:pt idx="9">
                        <c:v>45536</c:v>
                      </c:pt>
                      <c:pt idx="10">
                        <c:v>45566</c:v>
                      </c:pt>
                      <c:pt idx="11">
                        <c:v>45620</c:v>
                      </c:pt>
                      <c:pt idx="12">
                        <c:v>45650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'AFI (mthly)'!$C$7:$O$7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65</c:v>
                      </c:pt>
                      <c:pt idx="1">
                        <c:v>55</c:v>
                      </c:pt>
                      <c:pt idx="2">
                        <c:v>84</c:v>
                      </c:pt>
                      <c:pt idx="3">
                        <c:v>74</c:v>
                      </c:pt>
                      <c:pt idx="4">
                        <c:v>109</c:v>
                      </c:pt>
                      <c:pt idx="5">
                        <c:v>218</c:v>
                      </c:pt>
                      <c:pt idx="6">
                        <c:v>218</c:v>
                      </c:pt>
                      <c:pt idx="7">
                        <c:v>218</c:v>
                      </c:pt>
                      <c:pt idx="8">
                        <c:v>450</c:v>
                      </c:pt>
                      <c:pt idx="9">
                        <c:v>450</c:v>
                      </c:pt>
                      <c:pt idx="10">
                        <c:v>437</c:v>
                      </c:pt>
                      <c:pt idx="11">
                        <c:v>317</c:v>
                      </c:pt>
                      <c:pt idx="12">
                        <c:v>306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16C-4A4A-807D-248DDAD2567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'AFI (mthly)'!$B$8</c15:sqref>
                        </c15:formulaRef>
                      </c:ext>
                    </c:extLst>
                    <c:strCache>
                      <c:ptCount val="1"/>
                      <c:pt idx="0">
                        <c:v>FURNACE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dLbl>
                    <c:idx val="0"/>
                    <c:layout>
                      <c:manualLayout>
                        <c:x val="-8.475413572369828E-3"/>
                        <c:y val="-1.109109001166444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7-816C-4A4A-807D-248DDAD2567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'AFI (mthly)'!$C$5:$O$5</c15:sqref>
                        </c15:formulaRef>
                      </c:ext>
                    </c:extLst>
                    <c:numCache>
                      <c:formatCode>mmm\-yy</c:formatCode>
                      <c:ptCount val="13"/>
                      <c:pt idx="0" formatCode="General">
                        <c:v>2023</c:v>
                      </c:pt>
                      <c:pt idx="1">
                        <c:v>45292</c:v>
                      </c:pt>
                      <c:pt idx="2">
                        <c:v>45323</c:v>
                      </c:pt>
                      <c:pt idx="3">
                        <c:v>45352</c:v>
                      </c:pt>
                      <c:pt idx="4">
                        <c:v>45383</c:v>
                      </c:pt>
                      <c:pt idx="5">
                        <c:v>45413</c:v>
                      </c:pt>
                      <c:pt idx="6">
                        <c:v>45444</c:v>
                      </c:pt>
                      <c:pt idx="7">
                        <c:v>45474</c:v>
                      </c:pt>
                      <c:pt idx="8">
                        <c:v>45505</c:v>
                      </c:pt>
                      <c:pt idx="9">
                        <c:v>45536</c:v>
                      </c:pt>
                      <c:pt idx="10">
                        <c:v>45566</c:v>
                      </c:pt>
                      <c:pt idx="11">
                        <c:v>45620</c:v>
                      </c:pt>
                      <c:pt idx="12">
                        <c:v>45650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'AFI (mthly)'!$C$8:$O$8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4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16C-4A4A-807D-248DDAD25679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KILN - CTT - CRANE - DOS - SULPHUR MELTER - SLCU</a:t>
            </a:r>
            <a:endParaRPr lang="en-US" b="1"/>
          </a:p>
        </c:rich>
      </c:tx>
      <c:layout>
        <c:manualLayout>
          <c:xMode val="edge"/>
          <c:yMode val="edge"/>
          <c:x val="0.34203908698766705"/>
          <c:y val="1.57880734986619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73122411781860597"/>
        </c:manualLayout>
      </c:layout>
      <c:lineChart>
        <c:grouping val="standard"/>
        <c:varyColors val="0"/>
        <c:ser>
          <c:idx val="0"/>
          <c:order val="0"/>
          <c:tx>
            <c:strRef>
              <c:f>'Forces (mthly)'!$B$6</c:f>
              <c:strCache>
                <c:ptCount val="1"/>
                <c:pt idx="0">
                  <c:v>KILN - CTT - CRANE - DOS - SULPHUR MELTER - SLCU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'Forces (mthly)'!$C$5:$O$5</c:f>
              <c:numCache>
                <c:formatCode>mmm\-yy</c:formatCode>
                <c:ptCount val="13"/>
                <c:pt idx="0" formatCode="General">
                  <c:v>2023</c:v>
                </c:pt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  <c:pt idx="4">
                  <c:v>45383</c:v>
                </c:pt>
                <c:pt idx="5">
                  <c:v>45413</c:v>
                </c:pt>
                <c:pt idx="6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  <c:pt idx="11">
                  <c:v>45620</c:v>
                </c:pt>
                <c:pt idx="12">
                  <c:v>45650</c:v>
                </c:pt>
              </c:numCache>
            </c:numRef>
          </c:cat>
          <c:val>
            <c:numRef>
              <c:f>'Forces (mthly)'!$C$6:$O$6</c:f>
              <c:numCache>
                <c:formatCode>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6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9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367-4BCC-B32A-1EBDB574FE9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'Forces (mthly)'!$B$7</c15:sqref>
                        </c15:formulaRef>
                      </c:ext>
                    </c:extLst>
                    <c:strCache>
                      <c:ptCount val="1"/>
                      <c:pt idx="0">
                        <c:v>DRYER/COALMILL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ormulaRef>
                          <c15:sqref>'Forces (mthly)'!$C$5:$O$5</c15:sqref>
                        </c15:formulaRef>
                      </c:ext>
                    </c:extLst>
                    <c:numCache>
                      <c:formatCode>mmm\-yy</c:formatCode>
                      <c:ptCount val="13"/>
                      <c:pt idx="0" formatCode="General">
                        <c:v>2023</c:v>
                      </c:pt>
                      <c:pt idx="1">
                        <c:v>45292</c:v>
                      </c:pt>
                      <c:pt idx="2">
                        <c:v>45323</c:v>
                      </c:pt>
                      <c:pt idx="3">
                        <c:v>45352</c:v>
                      </c:pt>
                      <c:pt idx="4">
                        <c:v>45383</c:v>
                      </c:pt>
                      <c:pt idx="5">
                        <c:v>45413</c:v>
                      </c:pt>
                      <c:pt idx="6">
                        <c:v>45444</c:v>
                      </c:pt>
                      <c:pt idx="7">
                        <c:v>45474</c:v>
                      </c:pt>
                      <c:pt idx="8">
                        <c:v>45505</c:v>
                      </c:pt>
                      <c:pt idx="9">
                        <c:v>45536</c:v>
                      </c:pt>
                      <c:pt idx="10">
                        <c:v>45566</c:v>
                      </c:pt>
                      <c:pt idx="11">
                        <c:v>45620</c:v>
                      </c:pt>
                      <c:pt idx="12">
                        <c:v>45650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'Forces (mthly)'!$C$7:$O$7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16</c:v>
                      </c:pt>
                      <c:pt idx="1">
                        <c:v>16</c:v>
                      </c:pt>
                      <c:pt idx="2">
                        <c:v>16</c:v>
                      </c:pt>
                      <c:pt idx="3">
                        <c:v>16</c:v>
                      </c:pt>
                      <c:pt idx="4">
                        <c:v>10</c:v>
                      </c:pt>
                      <c:pt idx="5">
                        <c:v>10</c:v>
                      </c:pt>
                      <c:pt idx="6">
                        <c:v>10</c:v>
                      </c:pt>
                      <c:pt idx="7">
                        <c:v>10</c:v>
                      </c:pt>
                      <c:pt idx="8">
                        <c:v>8</c:v>
                      </c:pt>
                      <c:pt idx="9">
                        <c:v>8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D367-4BCC-B32A-1EBDB574FE9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'Forces (mthly)'!$B$8</c15:sqref>
                        </c15:formulaRef>
                      </c:ext>
                    </c:extLst>
                    <c:strCache>
                      <c:ptCount val="1"/>
                      <c:pt idx="0">
                        <c:v>FURNACE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dLbl>
                    <c:idx val="0"/>
                    <c:layout>
                      <c:manualLayout>
                        <c:x val="-8.475413572369828E-3"/>
                        <c:y val="-1.109109001166444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5-D367-4BCC-B32A-1EBDB574FE9A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'Forces (mthly)'!$C$5:$O$5</c15:sqref>
                        </c15:formulaRef>
                      </c:ext>
                    </c:extLst>
                    <c:numCache>
                      <c:formatCode>mmm\-yy</c:formatCode>
                      <c:ptCount val="13"/>
                      <c:pt idx="0" formatCode="General">
                        <c:v>2023</c:v>
                      </c:pt>
                      <c:pt idx="1">
                        <c:v>45292</c:v>
                      </c:pt>
                      <c:pt idx="2">
                        <c:v>45323</c:v>
                      </c:pt>
                      <c:pt idx="3">
                        <c:v>45352</c:v>
                      </c:pt>
                      <c:pt idx="4">
                        <c:v>45383</c:v>
                      </c:pt>
                      <c:pt idx="5">
                        <c:v>45413</c:v>
                      </c:pt>
                      <c:pt idx="6">
                        <c:v>45444</c:v>
                      </c:pt>
                      <c:pt idx="7">
                        <c:v>45474</c:v>
                      </c:pt>
                      <c:pt idx="8">
                        <c:v>45505</c:v>
                      </c:pt>
                      <c:pt idx="9">
                        <c:v>45536</c:v>
                      </c:pt>
                      <c:pt idx="10">
                        <c:v>45566</c:v>
                      </c:pt>
                      <c:pt idx="11">
                        <c:v>45620</c:v>
                      </c:pt>
                      <c:pt idx="12">
                        <c:v>45650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'Forces (mthly)'!$C$8:$O$8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1</c:v>
                      </c:pt>
                      <c:pt idx="1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367-4BCC-B32A-1EBDB574FE9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'Forces (mthly)'!$B$9</c15:sqref>
                        </c15:formulaRef>
                      </c:ext>
                    </c:extLst>
                    <c:strCache>
                      <c:ptCount val="1"/>
                      <c:pt idx="0">
                        <c:v>CONVERTER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2.0246911294959619E-2"/>
                        <c:y val="-1.3231416683475725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7-D367-4BCC-B32A-1EBDB574FE9A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'Forces (mthly)'!$C$5:$O$5</c15:sqref>
                        </c15:formulaRef>
                      </c:ext>
                    </c:extLst>
                    <c:numCache>
                      <c:formatCode>mmm\-yy</c:formatCode>
                      <c:ptCount val="13"/>
                      <c:pt idx="0" formatCode="General">
                        <c:v>2023</c:v>
                      </c:pt>
                      <c:pt idx="1">
                        <c:v>45292</c:v>
                      </c:pt>
                      <c:pt idx="2">
                        <c:v>45323</c:v>
                      </c:pt>
                      <c:pt idx="3">
                        <c:v>45352</c:v>
                      </c:pt>
                      <c:pt idx="4">
                        <c:v>45383</c:v>
                      </c:pt>
                      <c:pt idx="5">
                        <c:v>45413</c:v>
                      </c:pt>
                      <c:pt idx="6">
                        <c:v>45444</c:v>
                      </c:pt>
                      <c:pt idx="7">
                        <c:v>45474</c:v>
                      </c:pt>
                      <c:pt idx="8">
                        <c:v>45505</c:v>
                      </c:pt>
                      <c:pt idx="9">
                        <c:v>45536</c:v>
                      </c:pt>
                      <c:pt idx="10">
                        <c:v>45566</c:v>
                      </c:pt>
                      <c:pt idx="11">
                        <c:v>45620</c:v>
                      </c:pt>
                      <c:pt idx="12">
                        <c:v>45650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'Forces (mthly)'!$C$9:$O$9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1</c:v>
                      </c:pt>
                      <c:pt idx="12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367-4BCC-B32A-1EBDB574FE9A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DRYER/COALMILL</a:t>
            </a:r>
            <a:endParaRPr lang="en-US" b="1"/>
          </a:p>
        </c:rich>
      </c:tx>
      <c:layout>
        <c:manualLayout>
          <c:xMode val="edge"/>
          <c:yMode val="edge"/>
          <c:x val="0.44064335511828456"/>
          <c:y val="1.83373042715519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73122411781860597"/>
        </c:manualLayout>
      </c:layout>
      <c:lineChart>
        <c:grouping val="standard"/>
        <c:varyColors val="0"/>
        <c:ser>
          <c:idx val="1"/>
          <c:order val="1"/>
          <c:tx>
            <c:strRef>
              <c:f>'Forces (mthly)'!$B$7</c:f>
              <c:strCache>
                <c:ptCount val="1"/>
                <c:pt idx="0">
                  <c:v>DRYER/COALMILL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'Forces (mthly)'!$C$5:$O$5</c:f>
              <c:numCache>
                <c:formatCode>mmm\-yy</c:formatCode>
                <c:ptCount val="13"/>
                <c:pt idx="0" formatCode="General">
                  <c:v>2023</c:v>
                </c:pt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  <c:pt idx="4">
                  <c:v>45383</c:v>
                </c:pt>
                <c:pt idx="5">
                  <c:v>45413</c:v>
                </c:pt>
                <c:pt idx="6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  <c:pt idx="11">
                  <c:v>45620</c:v>
                </c:pt>
                <c:pt idx="12">
                  <c:v>45650</c:v>
                </c:pt>
              </c:numCache>
            </c:numRef>
          </c:cat>
          <c:val>
            <c:numRef>
              <c:f>'Forces (mthly)'!$C$7:$O$7</c:f>
              <c:numCache>
                <c:formatCode>0</c:formatCode>
                <c:ptCount val="13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82-46A8-88F5-C569015B36F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'Forces (mthly)'!$B$6</c15:sqref>
                        </c15:formulaRef>
                      </c:ext>
                    </c:extLst>
                    <c:strCache>
                      <c:ptCount val="1"/>
                      <c:pt idx="0">
                        <c:v>KILN - CTT - CRANE - DOS - SULPHUR MELTER - SLCU</c:v>
                      </c:pt>
                    </c:strCache>
                  </c:strRef>
                </c:tx>
                <c:spPr>
                  <a:ln w="28575" cap="rnd">
                    <a:solidFill>
                      <a:schemeClr val="bg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bg1">
                        <a:lumMod val="50000"/>
                      </a:schemeClr>
                    </a:solidFill>
                    <a:ln w="9525">
                      <a:solidFill>
                        <a:schemeClr val="bg1">
                          <a:lumMod val="5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0"/>
                    <c:layout>
                      <c:manualLayout>
                        <c:x val="-1.1039641301968465E-2"/>
                        <c:y val="-2.366801624969516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1382-46A8-88F5-C569015B36FE}"/>
                      </c:ext>
                    </c:extLst>
                  </c:dLbl>
                  <c:dLbl>
                    <c:idx val="1"/>
                    <c:layout>
                      <c:manualLayout>
                        <c:x val="-1.2872325044312632E-2"/>
                        <c:y val="-2.757483845716998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1382-46A8-88F5-C569015B36FE}"/>
                      </c:ext>
                    </c:extLst>
                  </c:dLbl>
                  <c:dLbl>
                    <c:idx val="8"/>
                    <c:layout>
                      <c:manualLayout>
                        <c:x val="-1.2570656868442932E-2"/>
                        <c:y val="-2.742441668571113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1382-46A8-88F5-C569015B36FE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'Forces (mthly)'!$C$5:$O$5</c15:sqref>
                        </c15:formulaRef>
                      </c:ext>
                    </c:extLst>
                    <c:numCache>
                      <c:formatCode>mmm\-yy</c:formatCode>
                      <c:ptCount val="13"/>
                      <c:pt idx="0" formatCode="General">
                        <c:v>2023</c:v>
                      </c:pt>
                      <c:pt idx="1">
                        <c:v>45292</c:v>
                      </c:pt>
                      <c:pt idx="2">
                        <c:v>45323</c:v>
                      </c:pt>
                      <c:pt idx="3">
                        <c:v>45352</c:v>
                      </c:pt>
                      <c:pt idx="4">
                        <c:v>45383</c:v>
                      </c:pt>
                      <c:pt idx="5">
                        <c:v>45413</c:v>
                      </c:pt>
                      <c:pt idx="6">
                        <c:v>45444</c:v>
                      </c:pt>
                      <c:pt idx="7">
                        <c:v>45474</c:v>
                      </c:pt>
                      <c:pt idx="8">
                        <c:v>45505</c:v>
                      </c:pt>
                      <c:pt idx="9">
                        <c:v>45536</c:v>
                      </c:pt>
                      <c:pt idx="10">
                        <c:v>45566</c:v>
                      </c:pt>
                      <c:pt idx="11">
                        <c:v>45620</c:v>
                      </c:pt>
                      <c:pt idx="12">
                        <c:v>45650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'Forces (mthly)'!$C$6:$O$6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6</c:v>
                      </c:pt>
                      <c:pt idx="5">
                        <c:v>7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5</c:v>
                      </c:pt>
                      <c:pt idx="9">
                        <c:v>9</c:v>
                      </c:pt>
                      <c:pt idx="10">
                        <c:v>3</c:v>
                      </c:pt>
                      <c:pt idx="11">
                        <c:v>1</c:v>
                      </c:pt>
                      <c:pt idx="12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1382-46A8-88F5-C569015B36F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'Forces (mthly)'!$B$8</c15:sqref>
                        </c15:formulaRef>
                      </c:ext>
                    </c:extLst>
                    <c:strCache>
                      <c:ptCount val="1"/>
                      <c:pt idx="0">
                        <c:v>FURNACE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dLbl>
                    <c:idx val="0"/>
                    <c:layout>
                      <c:manualLayout>
                        <c:x val="-8.475413572369828E-3"/>
                        <c:y val="-1.109109001166444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5-1382-46A8-88F5-C569015B36FE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'Forces (mthly)'!$C$5:$O$5</c15:sqref>
                        </c15:formulaRef>
                      </c:ext>
                    </c:extLst>
                    <c:numCache>
                      <c:formatCode>mmm\-yy</c:formatCode>
                      <c:ptCount val="13"/>
                      <c:pt idx="0" formatCode="General">
                        <c:v>2023</c:v>
                      </c:pt>
                      <c:pt idx="1">
                        <c:v>45292</c:v>
                      </c:pt>
                      <c:pt idx="2">
                        <c:v>45323</c:v>
                      </c:pt>
                      <c:pt idx="3">
                        <c:v>45352</c:v>
                      </c:pt>
                      <c:pt idx="4">
                        <c:v>45383</c:v>
                      </c:pt>
                      <c:pt idx="5">
                        <c:v>45413</c:v>
                      </c:pt>
                      <c:pt idx="6">
                        <c:v>45444</c:v>
                      </c:pt>
                      <c:pt idx="7">
                        <c:v>45474</c:v>
                      </c:pt>
                      <c:pt idx="8">
                        <c:v>45505</c:v>
                      </c:pt>
                      <c:pt idx="9">
                        <c:v>45536</c:v>
                      </c:pt>
                      <c:pt idx="10">
                        <c:v>45566</c:v>
                      </c:pt>
                      <c:pt idx="11">
                        <c:v>45620</c:v>
                      </c:pt>
                      <c:pt idx="12">
                        <c:v>45650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'Forces (mthly)'!$C$8:$O$8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1</c:v>
                      </c:pt>
                      <c:pt idx="1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382-46A8-88F5-C569015B36F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'Forces (mthly)'!$B$9</c15:sqref>
                        </c15:formulaRef>
                      </c:ext>
                    </c:extLst>
                    <c:strCache>
                      <c:ptCount val="1"/>
                      <c:pt idx="0">
                        <c:v>CONVERTER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2.0246911294959619E-2"/>
                        <c:y val="-1.3231416683475725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7-1382-46A8-88F5-C569015B36FE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'Forces (mthly)'!$C$5:$O$5</c15:sqref>
                        </c15:formulaRef>
                      </c:ext>
                    </c:extLst>
                    <c:numCache>
                      <c:formatCode>mmm\-yy</c:formatCode>
                      <c:ptCount val="13"/>
                      <c:pt idx="0" formatCode="General">
                        <c:v>2023</c:v>
                      </c:pt>
                      <c:pt idx="1">
                        <c:v>45292</c:v>
                      </c:pt>
                      <c:pt idx="2">
                        <c:v>45323</c:v>
                      </c:pt>
                      <c:pt idx="3">
                        <c:v>45352</c:v>
                      </c:pt>
                      <c:pt idx="4">
                        <c:v>45383</c:v>
                      </c:pt>
                      <c:pt idx="5">
                        <c:v>45413</c:v>
                      </c:pt>
                      <c:pt idx="6">
                        <c:v>45444</c:v>
                      </c:pt>
                      <c:pt idx="7">
                        <c:v>45474</c:v>
                      </c:pt>
                      <c:pt idx="8">
                        <c:v>45505</c:v>
                      </c:pt>
                      <c:pt idx="9">
                        <c:v>45536</c:v>
                      </c:pt>
                      <c:pt idx="10">
                        <c:v>45566</c:v>
                      </c:pt>
                      <c:pt idx="11">
                        <c:v>45620</c:v>
                      </c:pt>
                      <c:pt idx="12">
                        <c:v>45650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'Forces (mthly)'!$C$9:$O$9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1</c:v>
                      </c:pt>
                      <c:pt idx="12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1382-46A8-88F5-C569015B36FE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FURNACE</a:t>
            </a:r>
          </a:p>
        </c:rich>
      </c:tx>
      <c:layout>
        <c:manualLayout>
          <c:xMode val="edge"/>
          <c:yMode val="edge"/>
          <c:x val="0.44064335511828456"/>
          <c:y val="1.83373042715519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73122411781860597"/>
        </c:manualLayout>
      </c:layout>
      <c:lineChart>
        <c:grouping val="standard"/>
        <c:varyColors val="0"/>
        <c:ser>
          <c:idx val="2"/>
          <c:order val="2"/>
          <c:tx>
            <c:strRef>
              <c:f>'Forces (mthly)'!$B$8</c:f>
              <c:strCache>
                <c:ptCount val="1"/>
                <c:pt idx="0">
                  <c:v>FURNACE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8.4753921610408196E-3"/>
                  <c:y val="-4.67793248936678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08D-4AC0-BEE3-C00AE1D2CD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'Forces (mthly)'!$C$5:$O$5</c:f>
              <c:numCache>
                <c:formatCode>mmm\-yy</c:formatCode>
                <c:ptCount val="13"/>
                <c:pt idx="0" formatCode="General">
                  <c:v>2023</c:v>
                </c:pt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  <c:pt idx="4">
                  <c:v>45383</c:v>
                </c:pt>
                <c:pt idx="5">
                  <c:v>45413</c:v>
                </c:pt>
                <c:pt idx="6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  <c:pt idx="11">
                  <c:v>45620</c:v>
                </c:pt>
                <c:pt idx="12">
                  <c:v>45650</c:v>
                </c:pt>
              </c:numCache>
            </c:numRef>
          </c:cat>
          <c:val>
            <c:numRef>
              <c:f>'Forces (mthly)'!$C$8:$O$8</c:f>
              <c:numCache>
                <c:formatCode>0</c:formatCode>
                <c:ptCount val="13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1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D-4AC0-BEE3-C00AE1D2CDC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'Forces (mthly)'!$B$6</c15:sqref>
                        </c15:formulaRef>
                      </c:ext>
                    </c:extLst>
                    <c:strCache>
                      <c:ptCount val="1"/>
                      <c:pt idx="0">
                        <c:v>KILN - CTT - CRANE - DOS - SULPHUR MELTER - SLCU</c:v>
                      </c:pt>
                    </c:strCache>
                  </c:strRef>
                </c:tx>
                <c:spPr>
                  <a:ln w="28575" cap="rnd">
                    <a:solidFill>
                      <a:schemeClr val="bg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bg1">
                        <a:lumMod val="50000"/>
                      </a:schemeClr>
                    </a:solidFill>
                    <a:ln w="9525">
                      <a:solidFill>
                        <a:schemeClr val="bg1">
                          <a:lumMod val="5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0"/>
                    <c:layout>
                      <c:manualLayout>
                        <c:x val="-1.1039641301968465E-2"/>
                        <c:y val="-2.366801624969516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A08D-4AC0-BEE3-C00AE1D2CDC6}"/>
                      </c:ext>
                    </c:extLst>
                  </c:dLbl>
                  <c:dLbl>
                    <c:idx val="1"/>
                    <c:layout>
                      <c:manualLayout>
                        <c:x val="-1.2872325044312632E-2"/>
                        <c:y val="-2.757483845716998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A08D-4AC0-BEE3-C00AE1D2CDC6}"/>
                      </c:ext>
                    </c:extLst>
                  </c:dLbl>
                  <c:dLbl>
                    <c:idx val="8"/>
                    <c:layout>
                      <c:manualLayout>
                        <c:x val="-1.2570656868442932E-2"/>
                        <c:y val="-2.742441668571113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A08D-4AC0-BEE3-C00AE1D2CDC6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'Forces (mthly)'!$C$5:$O$5</c15:sqref>
                        </c15:formulaRef>
                      </c:ext>
                    </c:extLst>
                    <c:numCache>
                      <c:formatCode>mmm\-yy</c:formatCode>
                      <c:ptCount val="13"/>
                      <c:pt idx="0" formatCode="General">
                        <c:v>2023</c:v>
                      </c:pt>
                      <c:pt idx="1">
                        <c:v>45292</c:v>
                      </c:pt>
                      <c:pt idx="2">
                        <c:v>45323</c:v>
                      </c:pt>
                      <c:pt idx="3">
                        <c:v>45352</c:v>
                      </c:pt>
                      <c:pt idx="4">
                        <c:v>45383</c:v>
                      </c:pt>
                      <c:pt idx="5">
                        <c:v>45413</c:v>
                      </c:pt>
                      <c:pt idx="6">
                        <c:v>45444</c:v>
                      </c:pt>
                      <c:pt idx="7">
                        <c:v>45474</c:v>
                      </c:pt>
                      <c:pt idx="8">
                        <c:v>45505</c:v>
                      </c:pt>
                      <c:pt idx="9">
                        <c:v>45536</c:v>
                      </c:pt>
                      <c:pt idx="10">
                        <c:v>45566</c:v>
                      </c:pt>
                      <c:pt idx="11">
                        <c:v>45620</c:v>
                      </c:pt>
                      <c:pt idx="12">
                        <c:v>45650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'Forces (mthly)'!$C$6:$O$6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6</c:v>
                      </c:pt>
                      <c:pt idx="5">
                        <c:v>7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5</c:v>
                      </c:pt>
                      <c:pt idx="9">
                        <c:v>9</c:v>
                      </c:pt>
                      <c:pt idx="10">
                        <c:v>3</c:v>
                      </c:pt>
                      <c:pt idx="11">
                        <c:v>1</c:v>
                      </c:pt>
                      <c:pt idx="12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A08D-4AC0-BEE3-C00AE1D2CDC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'Forces (mthly)'!$B$7</c15:sqref>
                        </c15:formulaRef>
                      </c:ext>
                    </c:extLst>
                    <c:strCache>
                      <c:ptCount val="1"/>
                      <c:pt idx="0">
                        <c:v>DRYER/COALMILL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'Forces (mthly)'!$C$5:$O$5</c15:sqref>
                        </c15:formulaRef>
                      </c:ext>
                    </c:extLst>
                    <c:numCache>
                      <c:formatCode>mmm\-yy</c:formatCode>
                      <c:ptCount val="13"/>
                      <c:pt idx="0" formatCode="General">
                        <c:v>2023</c:v>
                      </c:pt>
                      <c:pt idx="1">
                        <c:v>45292</c:v>
                      </c:pt>
                      <c:pt idx="2">
                        <c:v>45323</c:v>
                      </c:pt>
                      <c:pt idx="3">
                        <c:v>45352</c:v>
                      </c:pt>
                      <c:pt idx="4">
                        <c:v>45383</c:v>
                      </c:pt>
                      <c:pt idx="5">
                        <c:v>45413</c:v>
                      </c:pt>
                      <c:pt idx="6">
                        <c:v>45444</c:v>
                      </c:pt>
                      <c:pt idx="7">
                        <c:v>45474</c:v>
                      </c:pt>
                      <c:pt idx="8">
                        <c:v>45505</c:v>
                      </c:pt>
                      <c:pt idx="9">
                        <c:v>45536</c:v>
                      </c:pt>
                      <c:pt idx="10">
                        <c:v>45566</c:v>
                      </c:pt>
                      <c:pt idx="11">
                        <c:v>45620</c:v>
                      </c:pt>
                      <c:pt idx="12">
                        <c:v>45650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'Forces (mthly)'!$C$7:$O$7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16</c:v>
                      </c:pt>
                      <c:pt idx="1">
                        <c:v>16</c:v>
                      </c:pt>
                      <c:pt idx="2">
                        <c:v>16</c:v>
                      </c:pt>
                      <c:pt idx="3">
                        <c:v>16</c:v>
                      </c:pt>
                      <c:pt idx="4">
                        <c:v>10</c:v>
                      </c:pt>
                      <c:pt idx="5">
                        <c:v>10</c:v>
                      </c:pt>
                      <c:pt idx="6">
                        <c:v>10</c:v>
                      </c:pt>
                      <c:pt idx="7">
                        <c:v>10</c:v>
                      </c:pt>
                      <c:pt idx="8">
                        <c:v>8</c:v>
                      </c:pt>
                      <c:pt idx="9">
                        <c:v>8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08D-4AC0-BEE3-C00AE1D2CDC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'Forces (mthly)'!$B$9</c15:sqref>
                        </c15:formulaRef>
                      </c:ext>
                    </c:extLst>
                    <c:strCache>
                      <c:ptCount val="1"/>
                      <c:pt idx="0">
                        <c:v>CONVERTER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dLbl>
                    <c:idx val="5"/>
                    <c:layout>
                      <c:manualLayout>
                        <c:x val="-2.0246911294959619E-2"/>
                        <c:y val="-1.3231416683475725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7-A08D-4AC0-BEE3-C00AE1D2CDC6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'Forces (mthly)'!$C$5:$O$5</c15:sqref>
                        </c15:formulaRef>
                      </c:ext>
                    </c:extLst>
                    <c:numCache>
                      <c:formatCode>mmm\-yy</c:formatCode>
                      <c:ptCount val="13"/>
                      <c:pt idx="0" formatCode="General">
                        <c:v>2023</c:v>
                      </c:pt>
                      <c:pt idx="1">
                        <c:v>45292</c:v>
                      </c:pt>
                      <c:pt idx="2">
                        <c:v>45323</c:v>
                      </c:pt>
                      <c:pt idx="3">
                        <c:v>45352</c:v>
                      </c:pt>
                      <c:pt idx="4">
                        <c:v>45383</c:v>
                      </c:pt>
                      <c:pt idx="5">
                        <c:v>45413</c:v>
                      </c:pt>
                      <c:pt idx="6">
                        <c:v>45444</c:v>
                      </c:pt>
                      <c:pt idx="7">
                        <c:v>45474</c:v>
                      </c:pt>
                      <c:pt idx="8">
                        <c:v>45505</c:v>
                      </c:pt>
                      <c:pt idx="9">
                        <c:v>45536</c:v>
                      </c:pt>
                      <c:pt idx="10">
                        <c:v>45566</c:v>
                      </c:pt>
                      <c:pt idx="11">
                        <c:v>45620</c:v>
                      </c:pt>
                      <c:pt idx="12">
                        <c:v>45650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'Forces (mthly)'!$C$9:$O$9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1</c:v>
                      </c:pt>
                      <c:pt idx="12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08D-4AC0-BEE3-C00AE1D2CDC6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CONVERTER</a:t>
            </a:r>
          </a:p>
        </c:rich>
      </c:tx>
      <c:layout>
        <c:manualLayout>
          <c:xMode val="edge"/>
          <c:yMode val="edge"/>
          <c:x val="0.46255540773067566"/>
          <c:y val="1.83373042715519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73122411781860597"/>
        </c:manualLayout>
      </c:layout>
      <c:lineChart>
        <c:grouping val="standard"/>
        <c:varyColors val="0"/>
        <c:ser>
          <c:idx val="3"/>
          <c:order val="3"/>
          <c:tx>
            <c:strRef>
              <c:f>'Forces (mthly)'!$B$9</c:f>
              <c:strCache>
                <c:ptCount val="1"/>
                <c:pt idx="0">
                  <c:v>CONVERTER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-2.1342511780316317E-2"/>
                  <c:y val="-4.63704554167678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1C2-429B-90D9-44F4666915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'Forces (mthly)'!$C$5:$O$5</c:f>
              <c:numCache>
                <c:formatCode>mmm\-yy</c:formatCode>
                <c:ptCount val="13"/>
                <c:pt idx="0" formatCode="General">
                  <c:v>2023</c:v>
                </c:pt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  <c:pt idx="4">
                  <c:v>45383</c:v>
                </c:pt>
                <c:pt idx="5">
                  <c:v>45413</c:v>
                </c:pt>
                <c:pt idx="6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  <c:pt idx="11">
                  <c:v>45620</c:v>
                </c:pt>
                <c:pt idx="12">
                  <c:v>45650</c:v>
                </c:pt>
              </c:numCache>
            </c:numRef>
          </c:cat>
          <c:val>
            <c:numRef>
              <c:f>'Forces (mthly)'!$C$9:$O$9</c:f>
              <c:numCache>
                <c:formatCode>0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C2-429B-90D9-44F46669155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'Forces (mthly)'!$B$6</c15:sqref>
                        </c15:formulaRef>
                      </c:ext>
                    </c:extLst>
                    <c:strCache>
                      <c:ptCount val="1"/>
                      <c:pt idx="0">
                        <c:v>KILN - CTT - CRANE - DOS - SULPHUR MELTER - SLCU</c:v>
                      </c:pt>
                    </c:strCache>
                  </c:strRef>
                </c:tx>
                <c:spPr>
                  <a:ln w="28575" cap="rnd">
                    <a:solidFill>
                      <a:schemeClr val="bg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bg1">
                        <a:lumMod val="50000"/>
                      </a:schemeClr>
                    </a:solidFill>
                    <a:ln w="9525">
                      <a:solidFill>
                        <a:schemeClr val="bg1">
                          <a:lumMod val="5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0"/>
                    <c:layout>
                      <c:manualLayout>
                        <c:x val="-1.1039641301968465E-2"/>
                        <c:y val="-2.366801624969516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01C2-429B-90D9-44F466691559}"/>
                      </c:ext>
                    </c:extLst>
                  </c:dLbl>
                  <c:dLbl>
                    <c:idx val="1"/>
                    <c:layout>
                      <c:manualLayout>
                        <c:x val="-1.2872325044312632E-2"/>
                        <c:y val="-2.757483845716998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01C2-429B-90D9-44F466691559}"/>
                      </c:ext>
                    </c:extLst>
                  </c:dLbl>
                  <c:dLbl>
                    <c:idx val="8"/>
                    <c:layout>
                      <c:manualLayout>
                        <c:x val="-1.2570656868442932E-2"/>
                        <c:y val="-2.742441668571113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01C2-429B-90D9-44F46669155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'Forces (mthly)'!$C$5:$O$5</c15:sqref>
                        </c15:formulaRef>
                      </c:ext>
                    </c:extLst>
                    <c:numCache>
                      <c:formatCode>mmm\-yy</c:formatCode>
                      <c:ptCount val="13"/>
                      <c:pt idx="0" formatCode="General">
                        <c:v>2023</c:v>
                      </c:pt>
                      <c:pt idx="1">
                        <c:v>45292</c:v>
                      </c:pt>
                      <c:pt idx="2">
                        <c:v>45323</c:v>
                      </c:pt>
                      <c:pt idx="3">
                        <c:v>45352</c:v>
                      </c:pt>
                      <c:pt idx="4">
                        <c:v>45383</c:v>
                      </c:pt>
                      <c:pt idx="5">
                        <c:v>45413</c:v>
                      </c:pt>
                      <c:pt idx="6">
                        <c:v>45444</c:v>
                      </c:pt>
                      <c:pt idx="7">
                        <c:v>45474</c:v>
                      </c:pt>
                      <c:pt idx="8">
                        <c:v>45505</c:v>
                      </c:pt>
                      <c:pt idx="9">
                        <c:v>45536</c:v>
                      </c:pt>
                      <c:pt idx="10">
                        <c:v>45566</c:v>
                      </c:pt>
                      <c:pt idx="11">
                        <c:v>45620</c:v>
                      </c:pt>
                      <c:pt idx="12">
                        <c:v>45650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'Forces (mthly)'!$C$6:$O$6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6</c:v>
                      </c:pt>
                      <c:pt idx="5">
                        <c:v>7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5</c:v>
                      </c:pt>
                      <c:pt idx="9">
                        <c:v>9</c:v>
                      </c:pt>
                      <c:pt idx="10">
                        <c:v>3</c:v>
                      </c:pt>
                      <c:pt idx="11">
                        <c:v>1</c:v>
                      </c:pt>
                      <c:pt idx="12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01C2-429B-90D9-44F46669155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'Forces (mthly)'!$B$7</c15:sqref>
                        </c15:formulaRef>
                      </c:ext>
                    </c:extLst>
                    <c:strCache>
                      <c:ptCount val="1"/>
                      <c:pt idx="0">
                        <c:v>DRYER/COALMILL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'Forces (mthly)'!$C$5:$O$5</c15:sqref>
                        </c15:formulaRef>
                      </c:ext>
                    </c:extLst>
                    <c:numCache>
                      <c:formatCode>mmm\-yy</c:formatCode>
                      <c:ptCount val="13"/>
                      <c:pt idx="0" formatCode="General">
                        <c:v>2023</c:v>
                      </c:pt>
                      <c:pt idx="1">
                        <c:v>45292</c:v>
                      </c:pt>
                      <c:pt idx="2">
                        <c:v>45323</c:v>
                      </c:pt>
                      <c:pt idx="3">
                        <c:v>45352</c:v>
                      </c:pt>
                      <c:pt idx="4">
                        <c:v>45383</c:v>
                      </c:pt>
                      <c:pt idx="5">
                        <c:v>45413</c:v>
                      </c:pt>
                      <c:pt idx="6">
                        <c:v>45444</c:v>
                      </c:pt>
                      <c:pt idx="7">
                        <c:v>45474</c:v>
                      </c:pt>
                      <c:pt idx="8">
                        <c:v>45505</c:v>
                      </c:pt>
                      <c:pt idx="9">
                        <c:v>45536</c:v>
                      </c:pt>
                      <c:pt idx="10">
                        <c:v>45566</c:v>
                      </c:pt>
                      <c:pt idx="11">
                        <c:v>45620</c:v>
                      </c:pt>
                      <c:pt idx="12">
                        <c:v>45650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'Forces (mthly)'!$C$7:$O$7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16</c:v>
                      </c:pt>
                      <c:pt idx="1">
                        <c:v>16</c:v>
                      </c:pt>
                      <c:pt idx="2">
                        <c:v>16</c:v>
                      </c:pt>
                      <c:pt idx="3">
                        <c:v>16</c:v>
                      </c:pt>
                      <c:pt idx="4">
                        <c:v>10</c:v>
                      </c:pt>
                      <c:pt idx="5">
                        <c:v>10</c:v>
                      </c:pt>
                      <c:pt idx="6">
                        <c:v>10</c:v>
                      </c:pt>
                      <c:pt idx="7">
                        <c:v>10</c:v>
                      </c:pt>
                      <c:pt idx="8">
                        <c:v>8</c:v>
                      </c:pt>
                      <c:pt idx="9">
                        <c:v>8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1C2-429B-90D9-44F46669155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'Forces (mthly)'!$B$8</c15:sqref>
                        </c15:formulaRef>
                      </c:ext>
                    </c:extLst>
                    <c:strCache>
                      <c:ptCount val="1"/>
                      <c:pt idx="0">
                        <c:v>FURNACE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dLbl>
                    <c:idx val="0"/>
                    <c:layout>
                      <c:manualLayout>
                        <c:x val="-8.475413572369828E-3"/>
                        <c:y val="-1.109109001166444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7-01C2-429B-90D9-44F46669155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'Forces (mthly)'!$C$5:$O$5</c15:sqref>
                        </c15:formulaRef>
                      </c:ext>
                    </c:extLst>
                    <c:numCache>
                      <c:formatCode>mmm\-yy</c:formatCode>
                      <c:ptCount val="13"/>
                      <c:pt idx="0" formatCode="General">
                        <c:v>2023</c:v>
                      </c:pt>
                      <c:pt idx="1">
                        <c:v>45292</c:v>
                      </c:pt>
                      <c:pt idx="2">
                        <c:v>45323</c:v>
                      </c:pt>
                      <c:pt idx="3">
                        <c:v>45352</c:v>
                      </c:pt>
                      <c:pt idx="4">
                        <c:v>45383</c:v>
                      </c:pt>
                      <c:pt idx="5">
                        <c:v>45413</c:v>
                      </c:pt>
                      <c:pt idx="6">
                        <c:v>45444</c:v>
                      </c:pt>
                      <c:pt idx="7">
                        <c:v>45474</c:v>
                      </c:pt>
                      <c:pt idx="8">
                        <c:v>45505</c:v>
                      </c:pt>
                      <c:pt idx="9">
                        <c:v>45536</c:v>
                      </c:pt>
                      <c:pt idx="10">
                        <c:v>45566</c:v>
                      </c:pt>
                      <c:pt idx="11">
                        <c:v>45620</c:v>
                      </c:pt>
                      <c:pt idx="12">
                        <c:v>45650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'Forces (mthly)'!$C$8:$O$8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1</c:v>
                      </c:pt>
                      <c:pt idx="1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1C2-429B-90D9-44F466691559}"/>
                  </c:ext>
                </c:extLst>
              </c15:ser>
            </c15:filteredLineSeries>
          </c:ext>
        </c:extLst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Total Short Branches</a:t>
            </a:r>
            <a:endParaRPr lang="en-US" b="1"/>
          </a:p>
        </c:rich>
      </c:tx>
      <c:layout>
        <c:manualLayout>
          <c:xMode val="edge"/>
          <c:yMode val="edge"/>
          <c:x val="0.43667915103304716"/>
          <c:y val="1.57880734986619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73122411781860597"/>
        </c:manualLayout>
      </c:layout>
      <c:lineChart>
        <c:grouping val="standard"/>
        <c:varyColors val="0"/>
        <c:ser>
          <c:idx val="0"/>
          <c:order val="0"/>
          <c:tx>
            <c:strRef>
              <c:f>'PP update All Area (New chart)'!$B$6</c:f>
              <c:strCache>
                <c:ptCount val="1"/>
                <c:pt idx="0">
                  <c:v>KILN - CTT - CRANE - DOS - SULPHUR MELTER - SLCU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9447104733102788E-3"/>
                  <c:y val="-1.31426776934088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ECB-4D80-97F0-FD734ED4D7C9}"/>
                </c:ext>
              </c:extLst>
            </c:dLbl>
            <c:dLbl>
              <c:idx val="1"/>
              <c:layout>
                <c:manualLayout>
                  <c:x val="-8.4925360874359181E-3"/>
                  <c:y val="-9.1555209371864347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ECB-4D80-97F0-FD734ED4D7C9}"/>
                </c:ext>
              </c:extLst>
            </c:dLbl>
            <c:dLbl>
              <c:idx val="8"/>
              <c:layout>
                <c:manualLayout>
                  <c:x val="-6.0010567538085827E-3"/>
                  <c:y val="-6.3736268161463869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ECB-4D80-97F0-FD734ED4D7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'PP update All Area (New chart)'!$C$5:$M$5</c:f>
              <c:numCache>
                <c:formatCode>mmm\-yy</c:formatCode>
                <c:ptCount val="11"/>
                <c:pt idx="0" formatCode="General">
                  <c:v>2023</c:v>
                </c:pt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  <c:pt idx="4">
                  <c:v>45383</c:v>
                </c:pt>
                <c:pt idx="5">
                  <c:v>45413</c:v>
                </c:pt>
                <c:pt idx="6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</c:numCache>
            </c:numRef>
          </c:cat>
          <c:val>
            <c:numRef>
              <c:f>'PP update All Area (New chart)'!$C$6:$M$6</c:f>
              <c:numCache>
                <c:formatCode>0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8</c:v>
                </c:pt>
                <c:pt idx="9">
                  <c:v>4</c:v>
                </c:pt>
                <c:pt idx="1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CB-4D80-97F0-FD734ED4D7C9}"/>
            </c:ext>
          </c:extLst>
        </c:ser>
        <c:ser>
          <c:idx val="1"/>
          <c:order val="1"/>
          <c:tx>
            <c:strRef>
              <c:f>'PP update All Area (New chart)'!$B$7</c:f>
              <c:strCache>
                <c:ptCount val="1"/>
                <c:pt idx="0">
                  <c:v>DRYER/COALMILL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'PP update All Area (New chart)'!$C$5:$M$5</c:f>
              <c:numCache>
                <c:formatCode>mmm\-yy</c:formatCode>
                <c:ptCount val="11"/>
                <c:pt idx="0" formatCode="General">
                  <c:v>2023</c:v>
                </c:pt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  <c:pt idx="4">
                  <c:v>45383</c:v>
                </c:pt>
                <c:pt idx="5">
                  <c:v>45413</c:v>
                </c:pt>
                <c:pt idx="6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</c:numCache>
            </c:numRef>
          </c:cat>
          <c:val>
            <c:numRef>
              <c:f>'PP update All Area (New chart)'!$C$7:$M$7</c:f>
              <c:numCache>
                <c:formatCode>0</c:formatCode>
                <c:ptCount val="11"/>
                <c:pt idx="0">
                  <c:v>22</c:v>
                </c:pt>
                <c:pt idx="1">
                  <c:v>22</c:v>
                </c:pt>
                <c:pt idx="2">
                  <c:v>27</c:v>
                </c:pt>
                <c:pt idx="3">
                  <c:v>27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ECB-4D80-97F0-FD734ED4D7C9}"/>
            </c:ext>
          </c:extLst>
        </c:ser>
        <c:ser>
          <c:idx val="2"/>
          <c:order val="2"/>
          <c:tx>
            <c:strRef>
              <c:f>'PP update All Area (New chart)'!$B$8</c:f>
              <c:strCache>
                <c:ptCount val="1"/>
                <c:pt idx="0">
                  <c:v>FURNACE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8.475413572369828E-3"/>
                  <c:y val="-1.10910900116644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ECB-4D80-97F0-FD734ED4D7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'PP update All Area (New chart)'!$C$5:$M$5</c:f>
              <c:numCache>
                <c:formatCode>mmm\-yy</c:formatCode>
                <c:ptCount val="11"/>
                <c:pt idx="0" formatCode="General">
                  <c:v>2023</c:v>
                </c:pt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  <c:pt idx="4">
                  <c:v>45383</c:v>
                </c:pt>
                <c:pt idx="5">
                  <c:v>45413</c:v>
                </c:pt>
                <c:pt idx="6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</c:numCache>
            </c:numRef>
          </c:cat>
          <c:val>
            <c:numRef>
              <c:f>'PP update All Area (New chart)'!$C$8:$M$8</c:f>
              <c:numCache>
                <c:formatCode>0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7</c:v>
                </c:pt>
                <c:pt idx="7">
                  <c:v>7</c:v>
                </c:pt>
                <c:pt idx="8">
                  <c:v>9</c:v>
                </c:pt>
                <c:pt idx="9">
                  <c:v>8</c:v>
                </c:pt>
                <c:pt idx="10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ECB-4D80-97F0-FD734ED4D7C9}"/>
            </c:ext>
          </c:extLst>
        </c:ser>
        <c:ser>
          <c:idx val="3"/>
          <c:order val="3"/>
          <c:tx>
            <c:strRef>
              <c:f>'PP update All Area (New chart)'!$B$9</c:f>
              <c:strCache>
                <c:ptCount val="1"/>
                <c:pt idx="0">
                  <c:v>CONVERTER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-2.0246911294959619E-2"/>
                  <c:y val="-1.32314166834757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ECB-4D80-97F0-FD734ED4D7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'PP update All Area (New chart)'!$C$5:$M$5</c:f>
              <c:numCache>
                <c:formatCode>mmm\-yy</c:formatCode>
                <c:ptCount val="11"/>
                <c:pt idx="0" formatCode="General">
                  <c:v>2023</c:v>
                </c:pt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  <c:pt idx="4">
                  <c:v>45383</c:v>
                </c:pt>
                <c:pt idx="5">
                  <c:v>45413</c:v>
                </c:pt>
                <c:pt idx="6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</c:numCache>
            </c:numRef>
          </c:cat>
          <c:val>
            <c:numRef>
              <c:f>'PP update All Area (New chart)'!$C$9:$M$9</c:f>
              <c:numCache>
                <c:formatCode>0</c:formatCode>
                <c:ptCount val="1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ECB-4D80-97F0-FD734ED4D7C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459590291523118"/>
          <c:y val="0.94791630212890055"/>
          <c:w val="0.56954671291280579"/>
          <c:h val="4.44042675038351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Total Forces</a:t>
            </a:r>
            <a:endParaRPr lang="en-US" b="1"/>
          </a:p>
        </c:rich>
      </c:tx>
      <c:layout>
        <c:manualLayout>
          <c:xMode val="edge"/>
          <c:yMode val="edge"/>
          <c:x val="0.46342846794413878"/>
          <c:y val="1.57880702274911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73122411781860597"/>
        </c:manualLayout>
      </c:layout>
      <c:lineChart>
        <c:grouping val="standard"/>
        <c:varyColors val="0"/>
        <c:ser>
          <c:idx val="0"/>
          <c:order val="0"/>
          <c:tx>
            <c:strRef>
              <c:f>'PP update All Area (New chart)'!$B$41</c:f>
              <c:strCache>
                <c:ptCount val="1"/>
                <c:pt idx="0">
                  <c:v>KILN - CTT - CRANE - DOS - SULPHUR MELTER - SLCU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'PP update All Area (New chart)'!$C$40:$M$40</c:f>
              <c:numCache>
                <c:formatCode>mmm\-yy</c:formatCode>
                <c:ptCount val="11"/>
                <c:pt idx="0" formatCode="General">
                  <c:v>2023</c:v>
                </c:pt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  <c:pt idx="4">
                  <c:v>45383</c:v>
                </c:pt>
                <c:pt idx="5">
                  <c:v>45413</c:v>
                </c:pt>
                <c:pt idx="6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</c:numCache>
            </c:numRef>
          </c:cat>
          <c:val>
            <c:numRef>
              <c:f>'PP update All Area (New chart)'!$C$41:$M$41</c:f>
              <c:numCache>
                <c:formatCode>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6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9</c:v>
                </c:pt>
                <c:pt idx="1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2A-4350-89AE-0F6A12ECE0C1}"/>
            </c:ext>
          </c:extLst>
        </c:ser>
        <c:ser>
          <c:idx val="1"/>
          <c:order val="1"/>
          <c:tx>
            <c:strRef>
              <c:f>'PP update All Area (New chart)'!$B$42</c:f>
              <c:strCache>
                <c:ptCount val="1"/>
                <c:pt idx="0">
                  <c:v>DRYER/COALMILL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'PP update All Area (New chart)'!$C$40:$M$40</c:f>
              <c:numCache>
                <c:formatCode>mmm\-yy</c:formatCode>
                <c:ptCount val="11"/>
                <c:pt idx="0" formatCode="General">
                  <c:v>2023</c:v>
                </c:pt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  <c:pt idx="4">
                  <c:v>45383</c:v>
                </c:pt>
                <c:pt idx="5">
                  <c:v>45413</c:v>
                </c:pt>
                <c:pt idx="6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</c:numCache>
            </c:numRef>
          </c:cat>
          <c:val>
            <c:numRef>
              <c:f>'PP update All Area (New chart)'!$C$42:$M$42</c:f>
              <c:numCache>
                <c:formatCode>0</c:formatCode>
                <c:ptCount val="11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2A-4350-89AE-0F6A12ECE0C1}"/>
            </c:ext>
          </c:extLst>
        </c:ser>
        <c:ser>
          <c:idx val="2"/>
          <c:order val="2"/>
          <c:tx>
            <c:strRef>
              <c:f>'PP update All Area (New chart)'!$B$43</c:f>
              <c:strCache>
                <c:ptCount val="1"/>
                <c:pt idx="0">
                  <c:v>FURNACE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'PP update All Area (New chart)'!$C$40:$M$40</c:f>
              <c:numCache>
                <c:formatCode>mmm\-yy</c:formatCode>
                <c:ptCount val="11"/>
                <c:pt idx="0" formatCode="General">
                  <c:v>2023</c:v>
                </c:pt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  <c:pt idx="4">
                  <c:v>45383</c:v>
                </c:pt>
                <c:pt idx="5">
                  <c:v>45413</c:v>
                </c:pt>
                <c:pt idx="6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</c:numCache>
            </c:numRef>
          </c:cat>
          <c:val>
            <c:numRef>
              <c:f>'PP update All Area (New chart)'!$C$43:$M$43</c:f>
              <c:numCache>
                <c:formatCode>0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2A-4350-89AE-0F6A12ECE0C1}"/>
            </c:ext>
          </c:extLst>
        </c:ser>
        <c:ser>
          <c:idx val="3"/>
          <c:order val="3"/>
          <c:tx>
            <c:strRef>
              <c:f>'PP update All Area (New chart)'!$B$44</c:f>
              <c:strCache>
                <c:ptCount val="1"/>
                <c:pt idx="0">
                  <c:v>CONVERTER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'PP update All Area (New chart)'!$C$40:$M$40</c:f>
              <c:numCache>
                <c:formatCode>mmm\-yy</c:formatCode>
                <c:ptCount val="11"/>
                <c:pt idx="0" formatCode="General">
                  <c:v>2023</c:v>
                </c:pt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  <c:pt idx="4">
                  <c:v>45383</c:v>
                </c:pt>
                <c:pt idx="5">
                  <c:v>45413</c:v>
                </c:pt>
                <c:pt idx="6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</c:numCache>
            </c:numRef>
          </c:cat>
          <c:val>
            <c:numRef>
              <c:f>'PP update All Area (New chart)'!$C$44:$M$44</c:f>
              <c:numCache>
                <c:formatCode>0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2A-4350-89AE-0F6A12ECE0C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459590291523118"/>
          <c:y val="0.94791630212890055"/>
          <c:w val="0.64972265984794297"/>
          <c:h val="4.30174045519597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Total AFI's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121039305400836E-2"/>
          <c:y val="0.12682098765432101"/>
          <c:w val="0.94873414598263961"/>
          <c:h val="0.73122411781860597"/>
        </c:manualLayout>
      </c:layout>
      <c:lineChart>
        <c:grouping val="standard"/>
        <c:varyColors val="0"/>
        <c:ser>
          <c:idx val="0"/>
          <c:order val="0"/>
          <c:tx>
            <c:strRef>
              <c:f>'PP update All Area (New chart)'!$B$76</c:f>
              <c:strCache>
                <c:ptCount val="1"/>
                <c:pt idx="0">
                  <c:v>KILN - CTT - CRANE - DOS - SULPHUR MELTER - SLCU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'PP update All Area (New chart)'!$C$75:$M$75</c:f>
              <c:numCache>
                <c:formatCode>mmm\-yy</c:formatCode>
                <c:ptCount val="11"/>
                <c:pt idx="0" formatCode="General">
                  <c:v>2023</c:v>
                </c:pt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  <c:pt idx="4">
                  <c:v>45383</c:v>
                </c:pt>
                <c:pt idx="5">
                  <c:v>45413</c:v>
                </c:pt>
                <c:pt idx="6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</c:numCache>
            </c:numRef>
          </c:cat>
          <c:val>
            <c:numRef>
              <c:f>'PP update All Area (New chart)'!$C$76:$M$76</c:f>
              <c:numCache>
                <c:formatCode>0</c:formatCode>
                <c:ptCount val="11"/>
                <c:pt idx="0">
                  <c:v>101</c:v>
                </c:pt>
                <c:pt idx="1">
                  <c:v>295</c:v>
                </c:pt>
                <c:pt idx="2">
                  <c:v>43</c:v>
                </c:pt>
                <c:pt idx="3">
                  <c:v>43</c:v>
                </c:pt>
                <c:pt idx="4">
                  <c:v>62</c:v>
                </c:pt>
                <c:pt idx="5">
                  <c:v>456</c:v>
                </c:pt>
                <c:pt idx="6">
                  <c:v>2492</c:v>
                </c:pt>
                <c:pt idx="7">
                  <c:v>975</c:v>
                </c:pt>
                <c:pt idx="8">
                  <c:v>739</c:v>
                </c:pt>
                <c:pt idx="9">
                  <c:v>708</c:v>
                </c:pt>
                <c:pt idx="10">
                  <c:v>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04-4EA5-A80D-445FD714C399}"/>
            </c:ext>
          </c:extLst>
        </c:ser>
        <c:ser>
          <c:idx val="1"/>
          <c:order val="1"/>
          <c:tx>
            <c:strRef>
              <c:f>'PP update All Area (New chart)'!$B$77</c:f>
              <c:strCache>
                <c:ptCount val="1"/>
                <c:pt idx="0">
                  <c:v>DRYER/COALMILL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'PP update All Area (New chart)'!$C$75:$M$75</c:f>
              <c:numCache>
                <c:formatCode>mmm\-yy</c:formatCode>
                <c:ptCount val="11"/>
                <c:pt idx="0" formatCode="General">
                  <c:v>2023</c:v>
                </c:pt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  <c:pt idx="4">
                  <c:v>45383</c:v>
                </c:pt>
                <c:pt idx="5">
                  <c:v>45413</c:v>
                </c:pt>
                <c:pt idx="6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</c:numCache>
            </c:numRef>
          </c:cat>
          <c:val>
            <c:numRef>
              <c:f>'PP update All Area (New chart)'!$C$77:$M$77</c:f>
              <c:numCache>
                <c:formatCode>0</c:formatCode>
                <c:ptCount val="11"/>
                <c:pt idx="0">
                  <c:v>65</c:v>
                </c:pt>
                <c:pt idx="1">
                  <c:v>55</c:v>
                </c:pt>
                <c:pt idx="2">
                  <c:v>84</c:v>
                </c:pt>
                <c:pt idx="3">
                  <c:v>74</c:v>
                </c:pt>
                <c:pt idx="4">
                  <c:v>109</c:v>
                </c:pt>
                <c:pt idx="5">
                  <c:v>218</c:v>
                </c:pt>
                <c:pt idx="6">
                  <c:v>218</c:v>
                </c:pt>
                <c:pt idx="7">
                  <c:v>218</c:v>
                </c:pt>
                <c:pt idx="8">
                  <c:v>450</c:v>
                </c:pt>
                <c:pt idx="9">
                  <c:v>450</c:v>
                </c:pt>
                <c:pt idx="10">
                  <c:v>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04-4EA5-A80D-445FD714C399}"/>
            </c:ext>
          </c:extLst>
        </c:ser>
        <c:ser>
          <c:idx val="2"/>
          <c:order val="2"/>
          <c:tx>
            <c:strRef>
              <c:f>'PP update All Area (New chart)'!$B$78</c:f>
              <c:strCache>
                <c:ptCount val="1"/>
                <c:pt idx="0">
                  <c:v>FURNACE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'PP update All Area (New chart)'!$C$75:$M$75</c:f>
              <c:numCache>
                <c:formatCode>mmm\-yy</c:formatCode>
                <c:ptCount val="11"/>
                <c:pt idx="0" formatCode="General">
                  <c:v>2023</c:v>
                </c:pt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  <c:pt idx="4">
                  <c:v>45383</c:v>
                </c:pt>
                <c:pt idx="5">
                  <c:v>45413</c:v>
                </c:pt>
                <c:pt idx="6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</c:numCache>
            </c:numRef>
          </c:cat>
          <c:val>
            <c:numRef>
              <c:f>'PP update All Area (New chart)'!$C$78:$M$78</c:f>
              <c:numCache>
                <c:formatCode>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</c:v>
                </c:pt>
                <c:pt idx="9">
                  <c:v>2</c:v>
                </c:pt>
                <c:pt idx="1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04-4EA5-A80D-445FD714C399}"/>
            </c:ext>
          </c:extLst>
        </c:ser>
        <c:ser>
          <c:idx val="3"/>
          <c:order val="3"/>
          <c:tx>
            <c:strRef>
              <c:f>'PP update All Area (New chart)'!$B$79</c:f>
              <c:strCache>
                <c:ptCount val="1"/>
                <c:pt idx="0">
                  <c:v>CONVERTER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'PP update All Area (New chart)'!$C$75:$M$75</c:f>
              <c:numCache>
                <c:formatCode>mmm\-yy</c:formatCode>
                <c:ptCount val="11"/>
                <c:pt idx="0" formatCode="General">
                  <c:v>2023</c:v>
                </c:pt>
                <c:pt idx="1">
                  <c:v>45292</c:v>
                </c:pt>
                <c:pt idx="2">
                  <c:v>45323</c:v>
                </c:pt>
                <c:pt idx="3">
                  <c:v>45352</c:v>
                </c:pt>
                <c:pt idx="4">
                  <c:v>45383</c:v>
                </c:pt>
                <c:pt idx="5">
                  <c:v>45413</c:v>
                </c:pt>
                <c:pt idx="6">
                  <c:v>45444</c:v>
                </c:pt>
                <c:pt idx="7">
                  <c:v>45474</c:v>
                </c:pt>
                <c:pt idx="8">
                  <c:v>45505</c:v>
                </c:pt>
                <c:pt idx="9">
                  <c:v>45536</c:v>
                </c:pt>
                <c:pt idx="10">
                  <c:v>45566</c:v>
                </c:pt>
              </c:numCache>
            </c:numRef>
          </c:cat>
          <c:val>
            <c:numRef>
              <c:f>'PP update All Area (New chart)'!$C$79:$M$79</c:f>
              <c:numCache>
                <c:formatCode>0</c:formatCode>
                <c:ptCount val="1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04-4EA5-A80D-445FD714C39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0571840"/>
        <c:axId val="950567160"/>
      </c:lineChart>
      <c:catAx>
        <c:axId val="95057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67160"/>
        <c:crosses val="autoZero"/>
        <c:auto val="1"/>
        <c:lblAlgn val="ctr"/>
        <c:lblOffset val="100"/>
        <c:noMultiLvlLbl val="0"/>
      </c:catAx>
      <c:valAx>
        <c:axId val="950567160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7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459590291523118"/>
          <c:y val="0.94791630212890055"/>
          <c:w val="0.64972265984794297"/>
          <c:h val="4.30174045519597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8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9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0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7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7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8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9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0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1.png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image" Target="../media/image1.png"/><Relationship Id="rId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image" Target="../media/image1.png"/><Relationship Id="rId1" Type="http://schemas.openxmlformats.org/officeDocument/2006/relationships/chart" Target="../charts/chart12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image" Target="../media/image1.png"/><Relationship Id="rId1" Type="http://schemas.openxmlformats.org/officeDocument/2006/relationships/chart" Target="../charts/chart16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image" Target="../media/image1.png"/><Relationship Id="rId1" Type="http://schemas.openxmlformats.org/officeDocument/2006/relationships/chart" Target="../charts/chart20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0.xml"/><Relationship Id="rId3" Type="http://schemas.openxmlformats.org/officeDocument/2006/relationships/chart" Target="../charts/chart25.xml"/><Relationship Id="rId7" Type="http://schemas.openxmlformats.org/officeDocument/2006/relationships/chart" Target="../charts/chart29.xml"/><Relationship Id="rId2" Type="http://schemas.openxmlformats.org/officeDocument/2006/relationships/image" Target="../media/image1.png"/><Relationship Id="rId1" Type="http://schemas.openxmlformats.org/officeDocument/2006/relationships/chart" Target="../charts/chart24.xml"/><Relationship Id="rId6" Type="http://schemas.openxmlformats.org/officeDocument/2006/relationships/chart" Target="../charts/chart28.xml"/><Relationship Id="rId5" Type="http://schemas.openxmlformats.org/officeDocument/2006/relationships/chart" Target="../charts/chart27.xml"/><Relationship Id="rId4" Type="http://schemas.openxmlformats.org/officeDocument/2006/relationships/chart" Target="../charts/chart26.xml"/><Relationship Id="rId9" Type="http://schemas.openxmlformats.org/officeDocument/2006/relationships/chart" Target="../charts/chart31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8.xml"/><Relationship Id="rId3" Type="http://schemas.openxmlformats.org/officeDocument/2006/relationships/chart" Target="../charts/chart33.xml"/><Relationship Id="rId7" Type="http://schemas.openxmlformats.org/officeDocument/2006/relationships/chart" Target="../charts/chart37.xml"/><Relationship Id="rId2" Type="http://schemas.openxmlformats.org/officeDocument/2006/relationships/image" Target="../media/image1.png"/><Relationship Id="rId1" Type="http://schemas.openxmlformats.org/officeDocument/2006/relationships/chart" Target="../charts/chart32.xml"/><Relationship Id="rId6" Type="http://schemas.openxmlformats.org/officeDocument/2006/relationships/chart" Target="../charts/chart36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Relationship Id="rId9" Type="http://schemas.openxmlformats.org/officeDocument/2006/relationships/chart" Target="../charts/chart3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.xml"/><Relationship Id="rId2" Type="http://schemas.openxmlformats.org/officeDocument/2006/relationships/image" Target="../media/image1.png"/><Relationship Id="rId1" Type="http://schemas.openxmlformats.org/officeDocument/2006/relationships/chart" Target="../charts/chart40.xml"/><Relationship Id="rId5" Type="http://schemas.openxmlformats.org/officeDocument/2006/relationships/chart" Target="../charts/chart43.xml"/><Relationship Id="rId4" Type="http://schemas.openxmlformats.org/officeDocument/2006/relationships/chart" Target="../charts/chart42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.xml"/><Relationship Id="rId7" Type="http://schemas.openxmlformats.org/officeDocument/2006/relationships/chart" Target="../charts/chart49.xml"/><Relationship Id="rId2" Type="http://schemas.openxmlformats.org/officeDocument/2006/relationships/chart" Target="../charts/chart44.xml"/><Relationship Id="rId1" Type="http://schemas.openxmlformats.org/officeDocument/2006/relationships/image" Target="../media/image1.png"/><Relationship Id="rId6" Type="http://schemas.openxmlformats.org/officeDocument/2006/relationships/chart" Target="../charts/chart48.xml"/><Relationship Id="rId5" Type="http://schemas.openxmlformats.org/officeDocument/2006/relationships/chart" Target="../charts/chart47.xml"/><Relationship Id="rId4" Type="http://schemas.openxmlformats.org/officeDocument/2006/relationships/chart" Target="../charts/chart46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6.xml"/><Relationship Id="rId13" Type="http://schemas.openxmlformats.org/officeDocument/2006/relationships/chart" Target="../charts/chart61.xml"/><Relationship Id="rId3" Type="http://schemas.openxmlformats.org/officeDocument/2006/relationships/chart" Target="../charts/chart51.xml"/><Relationship Id="rId7" Type="http://schemas.openxmlformats.org/officeDocument/2006/relationships/chart" Target="../charts/chart55.xml"/><Relationship Id="rId12" Type="http://schemas.openxmlformats.org/officeDocument/2006/relationships/chart" Target="../charts/chart60.xml"/><Relationship Id="rId2" Type="http://schemas.openxmlformats.org/officeDocument/2006/relationships/image" Target="../media/image1.png"/><Relationship Id="rId1" Type="http://schemas.openxmlformats.org/officeDocument/2006/relationships/chart" Target="../charts/chart50.xml"/><Relationship Id="rId6" Type="http://schemas.openxmlformats.org/officeDocument/2006/relationships/chart" Target="../charts/chart54.xml"/><Relationship Id="rId11" Type="http://schemas.openxmlformats.org/officeDocument/2006/relationships/chart" Target="../charts/chart59.xml"/><Relationship Id="rId5" Type="http://schemas.openxmlformats.org/officeDocument/2006/relationships/chart" Target="../charts/chart53.xml"/><Relationship Id="rId10" Type="http://schemas.openxmlformats.org/officeDocument/2006/relationships/chart" Target="../charts/chart58.xml"/><Relationship Id="rId4" Type="http://schemas.openxmlformats.org/officeDocument/2006/relationships/chart" Target="../charts/chart52.xml"/><Relationship Id="rId9" Type="http://schemas.openxmlformats.org/officeDocument/2006/relationships/chart" Target="../charts/chart57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8.xml"/><Relationship Id="rId3" Type="http://schemas.openxmlformats.org/officeDocument/2006/relationships/chart" Target="../charts/chart63.xml"/><Relationship Id="rId7" Type="http://schemas.openxmlformats.org/officeDocument/2006/relationships/chart" Target="../charts/chart67.xml"/><Relationship Id="rId2" Type="http://schemas.openxmlformats.org/officeDocument/2006/relationships/image" Target="../media/image1.png"/><Relationship Id="rId1" Type="http://schemas.openxmlformats.org/officeDocument/2006/relationships/chart" Target="../charts/chart62.xml"/><Relationship Id="rId6" Type="http://schemas.openxmlformats.org/officeDocument/2006/relationships/chart" Target="../charts/chart66.xml"/><Relationship Id="rId5" Type="http://schemas.openxmlformats.org/officeDocument/2006/relationships/chart" Target="../charts/chart65.xml"/><Relationship Id="rId4" Type="http://schemas.openxmlformats.org/officeDocument/2006/relationships/chart" Target="../charts/chart64.xml"/><Relationship Id="rId9" Type="http://schemas.openxmlformats.org/officeDocument/2006/relationships/chart" Target="../charts/chart69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6.xml"/><Relationship Id="rId3" Type="http://schemas.openxmlformats.org/officeDocument/2006/relationships/chart" Target="../charts/chart71.xml"/><Relationship Id="rId7" Type="http://schemas.openxmlformats.org/officeDocument/2006/relationships/chart" Target="../charts/chart75.xml"/><Relationship Id="rId2" Type="http://schemas.openxmlformats.org/officeDocument/2006/relationships/chart" Target="../charts/chart70.xml"/><Relationship Id="rId1" Type="http://schemas.openxmlformats.org/officeDocument/2006/relationships/image" Target="../media/image1.png"/><Relationship Id="rId6" Type="http://schemas.openxmlformats.org/officeDocument/2006/relationships/chart" Target="../charts/chart74.xml"/><Relationship Id="rId5" Type="http://schemas.openxmlformats.org/officeDocument/2006/relationships/chart" Target="../charts/chart73.xml"/><Relationship Id="rId4" Type="http://schemas.openxmlformats.org/officeDocument/2006/relationships/chart" Target="../charts/chart72.xml"/><Relationship Id="rId9" Type="http://schemas.openxmlformats.org/officeDocument/2006/relationships/chart" Target="../charts/chart77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5.xml"/><Relationship Id="rId13" Type="http://schemas.openxmlformats.org/officeDocument/2006/relationships/chart" Target="../charts/chart90.xml"/><Relationship Id="rId3" Type="http://schemas.openxmlformats.org/officeDocument/2006/relationships/chart" Target="../charts/chart80.xml"/><Relationship Id="rId7" Type="http://schemas.openxmlformats.org/officeDocument/2006/relationships/chart" Target="../charts/chart84.xml"/><Relationship Id="rId12" Type="http://schemas.openxmlformats.org/officeDocument/2006/relationships/chart" Target="../charts/chart89.xml"/><Relationship Id="rId2" Type="http://schemas.openxmlformats.org/officeDocument/2006/relationships/chart" Target="../charts/chart79.xml"/><Relationship Id="rId1" Type="http://schemas.openxmlformats.org/officeDocument/2006/relationships/chart" Target="../charts/chart78.xml"/><Relationship Id="rId6" Type="http://schemas.openxmlformats.org/officeDocument/2006/relationships/chart" Target="../charts/chart83.xml"/><Relationship Id="rId11" Type="http://schemas.openxmlformats.org/officeDocument/2006/relationships/chart" Target="../charts/chart88.xml"/><Relationship Id="rId5" Type="http://schemas.openxmlformats.org/officeDocument/2006/relationships/chart" Target="../charts/chart82.xml"/><Relationship Id="rId10" Type="http://schemas.openxmlformats.org/officeDocument/2006/relationships/chart" Target="../charts/chart87.xml"/><Relationship Id="rId4" Type="http://schemas.openxmlformats.org/officeDocument/2006/relationships/chart" Target="../charts/chart81.xml"/><Relationship Id="rId9" Type="http://schemas.openxmlformats.org/officeDocument/2006/relationships/chart" Target="../charts/chart86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8.xml"/><Relationship Id="rId13" Type="http://schemas.openxmlformats.org/officeDocument/2006/relationships/chart" Target="../charts/chart103.xml"/><Relationship Id="rId3" Type="http://schemas.openxmlformats.org/officeDocument/2006/relationships/chart" Target="../charts/chart93.xml"/><Relationship Id="rId7" Type="http://schemas.openxmlformats.org/officeDocument/2006/relationships/chart" Target="../charts/chart97.xml"/><Relationship Id="rId12" Type="http://schemas.openxmlformats.org/officeDocument/2006/relationships/chart" Target="../charts/chart102.xml"/><Relationship Id="rId2" Type="http://schemas.openxmlformats.org/officeDocument/2006/relationships/chart" Target="../charts/chart92.xml"/><Relationship Id="rId1" Type="http://schemas.openxmlformats.org/officeDocument/2006/relationships/chart" Target="../charts/chart91.xml"/><Relationship Id="rId6" Type="http://schemas.openxmlformats.org/officeDocument/2006/relationships/chart" Target="../charts/chart96.xml"/><Relationship Id="rId11" Type="http://schemas.openxmlformats.org/officeDocument/2006/relationships/chart" Target="../charts/chart101.xml"/><Relationship Id="rId5" Type="http://schemas.openxmlformats.org/officeDocument/2006/relationships/chart" Target="../charts/chart95.xml"/><Relationship Id="rId10" Type="http://schemas.openxmlformats.org/officeDocument/2006/relationships/chart" Target="../charts/chart100.xml"/><Relationship Id="rId4" Type="http://schemas.openxmlformats.org/officeDocument/2006/relationships/chart" Target="../charts/chart94.xml"/><Relationship Id="rId9" Type="http://schemas.openxmlformats.org/officeDocument/2006/relationships/chart" Target="../charts/chart99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5.xml"/><Relationship Id="rId2" Type="http://schemas.openxmlformats.org/officeDocument/2006/relationships/image" Target="../media/image1.png"/><Relationship Id="rId1" Type="http://schemas.openxmlformats.org/officeDocument/2006/relationships/chart" Target="../charts/chart104.xml"/><Relationship Id="rId5" Type="http://schemas.openxmlformats.org/officeDocument/2006/relationships/chart" Target="../charts/chart107.xml"/><Relationship Id="rId4" Type="http://schemas.openxmlformats.org/officeDocument/2006/relationships/chart" Target="../charts/chart106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9.xml"/><Relationship Id="rId2" Type="http://schemas.openxmlformats.org/officeDocument/2006/relationships/image" Target="../media/image1.png"/><Relationship Id="rId1" Type="http://schemas.openxmlformats.org/officeDocument/2006/relationships/chart" Target="../charts/chart108.xml"/><Relationship Id="rId5" Type="http://schemas.openxmlformats.org/officeDocument/2006/relationships/chart" Target="../charts/chart111.xml"/><Relationship Id="rId4" Type="http://schemas.openxmlformats.org/officeDocument/2006/relationships/chart" Target="../charts/chart110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4.xml"/><Relationship Id="rId2" Type="http://schemas.openxmlformats.org/officeDocument/2006/relationships/chart" Target="../charts/chart113.xml"/><Relationship Id="rId1" Type="http://schemas.openxmlformats.org/officeDocument/2006/relationships/chart" Target="../charts/chart112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1079500</xdr:colOff>
      <xdr:row>0</xdr:row>
      <xdr:rowOff>46318</xdr:rowOff>
    </xdr:from>
    <xdr:to>
      <xdr:col>6</xdr:col>
      <xdr:colOff>993780</xdr:colOff>
      <xdr:row>1</xdr:row>
      <xdr:rowOff>304053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D693EB-3C9B-41E5-8020-CE56D1E13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56700" y="46318"/>
          <a:ext cx="1179200" cy="44061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566059</xdr:colOff>
      <xdr:row>10</xdr:row>
      <xdr:rowOff>141514</xdr:rowOff>
    </xdr:from>
    <xdr:to>
      <xdr:col>4</xdr:col>
      <xdr:colOff>903515</xdr:colOff>
      <xdr:row>30</xdr:row>
      <xdr:rowOff>163286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E4E75C-AE43-457C-82F3-FA3BB6AC84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4</xdr:col>
      <xdr:colOff>947493</xdr:colOff>
      <xdr:row>52</xdr:row>
      <xdr:rowOff>21771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6F7E08-DF59-4069-B641-5770F99845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54</xdr:row>
      <xdr:rowOff>0</xdr:rowOff>
    </xdr:from>
    <xdr:to>
      <xdr:col>4</xdr:col>
      <xdr:colOff>947493</xdr:colOff>
      <xdr:row>74</xdr:row>
      <xdr:rowOff>21771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7CB0611-265D-42A6-B948-974F4AF039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10886</xdr:colOff>
      <xdr:row>75</xdr:row>
      <xdr:rowOff>130629</xdr:rowOff>
    </xdr:from>
    <xdr:to>
      <xdr:col>4</xdr:col>
      <xdr:colOff>958379</xdr:colOff>
      <xdr:row>95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AC9F41A-0B73-46C8-ADE3-1A6B57B44D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1079500</xdr:colOff>
      <xdr:row>0</xdr:row>
      <xdr:rowOff>46318</xdr:rowOff>
    </xdr:from>
    <xdr:to>
      <xdr:col>6</xdr:col>
      <xdr:colOff>993780</xdr:colOff>
      <xdr:row>1</xdr:row>
      <xdr:rowOff>304053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51C6B7-0140-46F7-86B0-194727D40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56700" y="46318"/>
          <a:ext cx="1179200" cy="44061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566059</xdr:colOff>
      <xdr:row>10</xdr:row>
      <xdr:rowOff>141514</xdr:rowOff>
    </xdr:from>
    <xdr:to>
      <xdr:col>4</xdr:col>
      <xdr:colOff>903515</xdr:colOff>
      <xdr:row>30</xdr:row>
      <xdr:rowOff>163286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8738F75-B06F-4C43-9FF1-033B6BDF3F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4</xdr:col>
      <xdr:colOff>947493</xdr:colOff>
      <xdr:row>52</xdr:row>
      <xdr:rowOff>21771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266C16A-F89A-40A0-84EF-E3CC7AD7B5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54</xdr:row>
      <xdr:rowOff>0</xdr:rowOff>
    </xdr:from>
    <xdr:to>
      <xdr:col>4</xdr:col>
      <xdr:colOff>947493</xdr:colOff>
      <xdr:row>74</xdr:row>
      <xdr:rowOff>21771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8F0285B-E1B1-4B88-941A-2C832BE2BF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10886</xdr:colOff>
      <xdr:row>75</xdr:row>
      <xdr:rowOff>130629</xdr:rowOff>
    </xdr:from>
    <xdr:to>
      <xdr:col>4</xdr:col>
      <xdr:colOff>958379</xdr:colOff>
      <xdr:row>95</xdr:row>
      <xdr:rowOff>152400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89AF68E-545E-4467-A2D5-1979133938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1079500</xdr:colOff>
      <xdr:row>0</xdr:row>
      <xdr:rowOff>46318</xdr:rowOff>
    </xdr:from>
    <xdr:to>
      <xdr:col>3</xdr:col>
      <xdr:colOff>993780</xdr:colOff>
      <xdr:row>1</xdr:row>
      <xdr:rowOff>304053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B4BADB-533B-4452-80BA-B64DF991C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56700" y="46318"/>
          <a:ext cx="1179200" cy="44061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2111828</xdr:colOff>
      <xdr:row>11</xdr:row>
      <xdr:rowOff>32657</xdr:rowOff>
    </xdr:from>
    <xdr:to>
      <xdr:col>13</xdr:col>
      <xdr:colOff>544285</xdr:colOff>
      <xdr:row>26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088D1E4-FD6A-249F-D674-81D537CBDF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119743</xdr:colOff>
      <xdr:row>0</xdr:row>
      <xdr:rowOff>0</xdr:rowOff>
    </xdr:from>
    <xdr:to>
      <xdr:col>28</xdr:col>
      <xdr:colOff>315686</xdr:colOff>
      <xdr:row>23</xdr:row>
      <xdr:rowOff>43542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F38A5D4-F3E6-1728-6915-D229BAB750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511628</xdr:colOff>
      <xdr:row>27</xdr:row>
      <xdr:rowOff>21772</xdr:rowOff>
    </xdr:from>
    <xdr:to>
      <xdr:col>23</xdr:col>
      <xdr:colOff>381000</xdr:colOff>
      <xdr:row>49</xdr:row>
      <xdr:rowOff>54429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F637AC7-1820-5525-46A8-EE269181CC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584198</xdr:colOff>
      <xdr:row>9</xdr:row>
      <xdr:rowOff>177799</xdr:rowOff>
    </xdr:from>
    <xdr:to>
      <xdr:col>6</xdr:col>
      <xdr:colOff>12700</xdr:colOff>
      <xdr:row>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EA7D8F-DE50-48D0-87AF-E9C98D2CDF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1079500</xdr:colOff>
      <xdr:row>0</xdr:row>
      <xdr:rowOff>46318</xdr:rowOff>
    </xdr:from>
    <xdr:to>
      <xdr:col>6</xdr:col>
      <xdr:colOff>993780</xdr:colOff>
      <xdr:row>1</xdr:row>
      <xdr:rowOff>304053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1BA7FD-2AFD-45A6-92EF-24CC574E8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56700" y="46318"/>
          <a:ext cx="1179200" cy="44061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586014</xdr:colOff>
      <xdr:row>32</xdr:row>
      <xdr:rowOff>78014</xdr:rowOff>
    </xdr:from>
    <xdr:to>
      <xdr:col>6</xdr:col>
      <xdr:colOff>13498</xdr:colOff>
      <xdr:row>53</xdr:row>
      <xdr:rowOff>74966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01DFDF-AA05-4B30-9A8F-B3EB9FFD46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584200</xdr:colOff>
      <xdr:row>55</xdr:row>
      <xdr:rowOff>0</xdr:rowOff>
    </xdr:from>
    <xdr:to>
      <xdr:col>6</xdr:col>
      <xdr:colOff>4064</xdr:colOff>
      <xdr:row>75</xdr:row>
      <xdr:rowOff>174752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43989AD-CB76-4C5E-8086-8DDB5E7B8C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571500</xdr:colOff>
      <xdr:row>77</xdr:row>
      <xdr:rowOff>127000</xdr:rowOff>
    </xdr:from>
    <xdr:to>
      <xdr:col>5</xdr:col>
      <xdr:colOff>1268984</xdr:colOff>
      <xdr:row>98</xdr:row>
      <xdr:rowOff>123952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A92FD00-3FF9-4EED-807E-5B3D490654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584198</xdr:colOff>
      <xdr:row>9</xdr:row>
      <xdr:rowOff>177799</xdr:rowOff>
    </xdr:from>
    <xdr:to>
      <xdr:col>6</xdr:col>
      <xdr:colOff>12700</xdr:colOff>
      <xdr:row>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635248-10CE-45DB-8BCB-BF99B6EC4F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1079500</xdr:colOff>
      <xdr:row>0</xdr:row>
      <xdr:rowOff>46318</xdr:rowOff>
    </xdr:from>
    <xdr:to>
      <xdr:col>6</xdr:col>
      <xdr:colOff>993780</xdr:colOff>
      <xdr:row>1</xdr:row>
      <xdr:rowOff>304053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BFFD01-0951-4E3E-A425-AC9A6D7A7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69400" y="46318"/>
          <a:ext cx="1184280" cy="43553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586014</xdr:colOff>
      <xdr:row>32</xdr:row>
      <xdr:rowOff>78014</xdr:rowOff>
    </xdr:from>
    <xdr:to>
      <xdr:col>6</xdr:col>
      <xdr:colOff>13498</xdr:colOff>
      <xdr:row>53</xdr:row>
      <xdr:rowOff>74966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DD2D30-61A4-49D6-AF3E-7EF857D6BA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584200</xdr:colOff>
      <xdr:row>55</xdr:row>
      <xdr:rowOff>0</xdr:rowOff>
    </xdr:from>
    <xdr:to>
      <xdr:col>6</xdr:col>
      <xdr:colOff>4064</xdr:colOff>
      <xdr:row>75</xdr:row>
      <xdr:rowOff>174752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AC83B9C-6891-44B5-B2D3-04D60B5A58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571500</xdr:colOff>
      <xdr:row>77</xdr:row>
      <xdr:rowOff>127000</xdr:rowOff>
    </xdr:from>
    <xdr:to>
      <xdr:col>5</xdr:col>
      <xdr:colOff>1268984</xdr:colOff>
      <xdr:row>98</xdr:row>
      <xdr:rowOff>123952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C71E7DB-13A1-4E1E-A39A-B37AE63E06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584198</xdr:colOff>
      <xdr:row>9</xdr:row>
      <xdr:rowOff>177799</xdr:rowOff>
    </xdr:from>
    <xdr:to>
      <xdr:col>14</xdr:col>
      <xdr:colOff>582706</xdr:colOff>
      <xdr:row>36</xdr:row>
      <xdr:rowOff>163286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0727CF-DD90-4D2B-89A9-71675A14EE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559127</xdr:colOff>
      <xdr:row>0</xdr:row>
      <xdr:rowOff>33618</xdr:rowOff>
    </xdr:from>
    <xdr:to>
      <xdr:col>16</xdr:col>
      <xdr:colOff>516587</xdr:colOff>
      <xdr:row>1</xdr:row>
      <xdr:rowOff>287543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A4D98B8-A00D-4194-9291-67D9E2C31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56767" y="33618"/>
          <a:ext cx="1184280" cy="44061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598714</xdr:colOff>
      <xdr:row>38</xdr:row>
      <xdr:rowOff>65314</xdr:rowOff>
    </xdr:from>
    <xdr:to>
      <xdr:col>14</xdr:col>
      <xdr:colOff>597222</xdr:colOff>
      <xdr:row>65</xdr:row>
      <xdr:rowOff>50802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438093A-071A-43F0-95B0-67EF927352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67</xdr:row>
      <xdr:rowOff>0</xdr:rowOff>
    </xdr:from>
    <xdr:to>
      <xdr:col>14</xdr:col>
      <xdr:colOff>608108</xdr:colOff>
      <xdr:row>93</xdr:row>
      <xdr:rowOff>170545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864447B-0732-40AD-A475-62A0D279D3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96</xdr:row>
      <xdr:rowOff>0</xdr:rowOff>
    </xdr:from>
    <xdr:to>
      <xdr:col>14</xdr:col>
      <xdr:colOff>608108</xdr:colOff>
      <xdr:row>122</xdr:row>
      <xdr:rowOff>170544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7F1F40B-6112-43EB-8FF3-6AD52A3C2C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193502</xdr:colOff>
      <xdr:row>18</xdr:row>
      <xdr:rowOff>45448</xdr:rowOff>
    </xdr:from>
    <xdr:to>
      <xdr:col>53</xdr:col>
      <xdr:colOff>36195</xdr:colOff>
      <xdr:row>43</xdr:row>
      <xdr:rowOff>161380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7A807E-E22C-40FF-B835-6BAEA9506A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559127</xdr:colOff>
      <xdr:row>0</xdr:row>
      <xdr:rowOff>33618</xdr:rowOff>
    </xdr:from>
    <xdr:to>
      <xdr:col>15</xdr:col>
      <xdr:colOff>516587</xdr:colOff>
      <xdr:row>1</xdr:row>
      <xdr:rowOff>287543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1EDF6D-5F00-465A-B1C9-C0C4E7D6E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47167" y="33618"/>
          <a:ext cx="1176660" cy="43680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53</xdr:col>
      <xdr:colOff>232066</xdr:colOff>
      <xdr:row>44</xdr:row>
      <xdr:rowOff>154304</xdr:rowOff>
    </xdr:from>
    <xdr:to>
      <xdr:col>66</xdr:col>
      <xdr:colOff>75233</xdr:colOff>
      <xdr:row>70</xdr:row>
      <xdr:rowOff>88807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3AE3B95-893D-4683-8E9D-427325D688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53</xdr:col>
      <xdr:colOff>202450</xdr:colOff>
      <xdr:row>18</xdr:row>
      <xdr:rowOff>39659</xdr:rowOff>
    </xdr:from>
    <xdr:to>
      <xdr:col>66</xdr:col>
      <xdr:colOff>45617</xdr:colOff>
      <xdr:row>43</xdr:row>
      <xdr:rowOff>165699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617C12F-4433-4740-8AD1-96B412077F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40</xdr:col>
      <xdr:colOff>167814</xdr:colOff>
      <xdr:row>44</xdr:row>
      <xdr:rowOff>132829</xdr:rowOff>
    </xdr:from>
    <xdr:to>
      <xdr:col>53</xdr:col>
      <xdr:colOff>17907</xdr:colOff>
      <xdr:row>70</xdr:row>
      <xdr:rowOff>88287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A83B500-0288-424E-9BED-409E98C6EC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1314277</xdr:colOff>
      <xdr:row>15</xdr:row>
      <xdr:rowOff>125037</xdr:rowOff>
    </xdr:from>
    <xdr:to>
      <xdr:col>10</xdr:col>
      <xdr:colOff>466621</xdr:colOff>
      <xdr:row>40</xdr:row>
      <xdr:rowOff>127807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DC88E4C-D8E2-4DFD-A50A-12DA30615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1318087</xdr:colOff>
      <xdr:row>41</xdr:row>
      <xdr:rowOff>38446</xdr:rowOff>
    </xdr:from>
    <xdr:to>
      <xdr:col>10</xdr:col>
      <xdr:colOff>468526</xdr:colOff>
      <xdr:row>67</xdr:row>
      <xdr:rowOff>110490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6B4BB54-3386-44F4-8F54-EBF8B9FCD2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1318087</xdr:colOff>
      <xdr:row>68</xdr:row>
      <xdr:rowOff>38447</xdr:rowOff>
    </xdr:from>
    <xdr:to>
      <xdr:col>10</xdr:col>
      <xdr:colOff>468526</xdr:colOff>
      <xdr:row>94</xdr:row>
      <xdr:rowOff>110491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8BF2BFB-BC61-4716-8D41-754DC9414B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1314277</xdr:colOff>
      <xdr:row>96</xdr:row>
      <xdr:rowOff>38446</xdr:rowOff>
    </xdr:from>
    <xdr:to>
      <xdr:col>10</xdr:col>
      <xdr:colOff>466621</xdr:colOff>
      <xdr:row>122</xdr:row>
      <xdr:rowOff>110490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1C53E05-9B8B-44A1-ABE1-F286CED5F1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397509</xdr:colOff>
      <xdr:row>12</xdr:row>
      <xdr:rowOff>114721</xdr:rowOff>
    </xdr:from>
    <xdr:to>
      <xdr:col>45</xdr:col>
      <xdr:colOff>242107</xdr:colOff>
      <xdr:row>38</xdr:row>
      <xdr:rowOff>26645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48CD2E-1919-4A45-B211-F4B37ED8B0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559127</xdr:colOff>
      <xdr:row>0</xdr:row>
      <xdr:rowOff>33618</xdr:rowOff>
    </xdr:from>
    <xdr:to>
      <xdr:col>15</xdr:col>
      <xdr:colOff>516587</xdr:colOff>
      <xdr:row>1</xdr:row>
      <xdr:rowOff>287543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D850E4-B942-4035-A42A-60E140B47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47167" y="33618"/>
          <a:ext cx="1176660" cy="43680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32</xdr:col>
      <xdr:colOff>364524</xdr:colOff>
      <xdr:row>38</xdr:row>
      <xdr:rowOff>141588</xdr:rowOff>
    </xdr:from>
    <xdr:to>
      <xdr:col>45</xdr:col>
      <xdr:colOff>206997</xdr:colOff>
      <xdr:row>64</xdr:row>
      <xdr:rowOff>91331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9327BC6-9D4D-459F-A0E2-742DFB60E5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368703</xdr:colOff>
      <xdr:row>12</xdr:row>
      <xdr:rowOff>110838</xdr:rowOff>
    </xdr:from>
    <xdr:to>
      <xdr:col>58</xdr:col>
      <xdr:colOff>213775</xdr:colOff>
      <xdr:row>38</xdr:row>
      <xdr:rowOff>30965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1690DFA-BC4C-43C2-898E-DD3232B58A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45</xdr:col>
      <xdr:colOff>368704</xdr:colOff>
      <xdr:row>38</xdr:row>
      <xdr:rowOff>169371</xdr:rowOff>
    </xdr:from>
    <xdr:to>
      <xdr:col>58</xdr:col>
      <xdr:colOff>213776</xdr:colOff>
      <xdr:row>64</xdr:row>
      <xdr:rowOff>119114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9855C42-208A-4BE1-87A0-7DCFDADBDB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813955</xdr:colOff>
      <xdr:row>16</xdr:row>
      <xdr:rowOff>103909</xdr:rowOff>
    </xdr:from>
    <xdr:to>
      <xdr:col>9</xdr:col>
      <xdr:colOff>574341</xdr:colOff>
      <xdr:row>42</xdr:row>
      <xdr:rowOff>175952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09A16A8-1EA5-4B48-B16E-C1F0D1396F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813954</xdr:colOff>
      <xdr:row>43</xdr:row>
      <xdr:rowOff>117764</xdr:rowOff>
    </xdr:from>
    <xdr:to>
      <xdr:col>9</xdr:col>
      <xdr:colOff>574547</xdr:colOff>
      <xdr:row>70</xdr:row>
      <xdr:rowOff>9699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B1204DC-3889-48F4-AA4D-B4F4422654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813955</xdr:colOff>
      <xdr:row>71</xdr:row>
      <xdr:rowOff>103909</xdr:rowOff>
    </xdr:from>
    <xdr:to>
      <xdr:col>9</xdr:col>
      <xdr:colOff>574341</xdr:colOff>
      <xdr:row>97</xdr:row>
      <xdr:rowOff>175952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B168BD2-F7B2-4E3D-B3CA-4525E74BA6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813955</xdr:colOff>
      <xdr:row>98</xdr:row>
      <xdr:rowOff>103909</xdr:rowOff>
    </xdr:from>
    <xdr:to>
      <xdr:col>9</xdr:col>
      <xdr:colOff>574341</xdr:colOff>
      <xdr:row>124</xdr:row>
      <xdr:rowOff>175953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F2CFCE1-ACF8-42F2-BBD4-7B08E952CF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584198</xdr:colOff>
      <xdr:row>13</xdr:row>
      <xdr:rowOff>177799</xdr:rowOff>
    </xdr:from>
    <xdr:to>
      <xdr:col>13</xdr:col>
      <xdr:colOff>582706</xdr:colOff>
      <xdr:row>40</xdr:row>
      <xdr:rowOff>163286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76DCC3-E9C3-4829-889F-8FEF6D4F9A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559127</xdr:colOff>
      <xdr:row>0</xdr:row>
      <xdr:rowOff>33618</xdr:rowOff>
    </xdr:from>
    <xdr:to>
      <xdr:col>15</xdr:col>
      <xdr:colOff>516587</xdr:colOff>
      <xdr:row>1</xdr:row>
      <xdr:rowOff>287543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8628F6-E89B-4899-AA00-24BB1AFA1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47167" y="33618"/>
          <a:ext cx="1176660" cy="43680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10886</xdr:colOff>
      <xdr:row>41</xdr:row>
      <xdr:rowOff>108856</xdr:rowOff>
    </xdr:from>
    <xdr:to>
      <xdr:col>14</xdr:col>
      <xdr:colOff>9394</xdr:colOff>
      <xdr:row>68</xdr:row>
      <xdr:rowOff>94343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998F2C6-CEDA-4B50-862A-4FF20E08C4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70</xdr:row>
      <xdr:rowOff>0</xdr:rowOff>
    </xdr:from>
    <xdr:to>
      <xdr:col>13</xdr:col>
      <xdr:colOff>608108</xdr:colOff>
      <xdr:row>96</xdr:row>
      <xdr:rowOff>170544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270118A-D25A-4BE9-BA8E-52E5F9003D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98</xdr:row>
      <xdr:rowOff>87085</xdr:rowOff>
    </xdr:from>
    <xdr:to>
      <xdr:col>13</xdr:col>
      <xdr:colOff>608108</xdr:colOff>
      <xdr:row>125</xdr:row>
      <xdr:rowOff>72572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A7336D9-82F8-42B5-AE4F-0E964EE912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559127</xdr:colOff>
      <xdr:row>0</xdr:row>
      <xdr:rowOff>33618</xdr:rowOff>
    </xdr:from>
    <xdr:to>
      <xdr:col>15</xdr:col>
      <xdr:colOff>512777</xdr:colOff>
      <xdr:row>1</xdr:row>
      <xdr:rowOff>283733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870687-44C0-4809-A949-DE1C810CB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47167" y="33618"/>
          <a:ext cx="1176660" cy="43680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46</xdr:col>
      <xdr:colOff>195870</xdr:colOff>
      <xdr:row>14</xdr:row>
      <xdr:rowOff>145473</xdr:rowOff>
    </xdr:from>
    <xdr:to>
      <xdr:col>59</xdr:col>
      <xdr:colOff>40942</xdr:colOff>
      <xdr:row>40</xdr:row>
      <xdr:rowOff>100237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AC194A8-D741-469C-80C5-384AD6B65F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46</xdr:col>
      <xdr:colOff>204008</xdr:colOff>
      <xdr:row>41</xdr:row>
      <xdr:rowOff>57323</xdr:rowOff>
    </xdr:from>
    <xdr:to>
      <xdr:col>59</xdr:col>
      <xdr:colOff>49080</xdr:colOff>
      <xdr:row>66</xdr:row>
      <xdr:rowOff>170722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996E92-C65F-48EF-AD91-BC4EA9DD2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242456</xdr:colOff>
      <xdr:row>16</xdr:row>
      <xdr:rowOff>0</xdr:rowOff>
    </xdr:from>
    <xdr:to>
      <xdr:col>9</xdr:col>
      <xdr:colOff>3049</xdr:colOff>
      <xdr:row>41</xdr:row>
      <xdr:rowOff>69273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3E436FB-8A85-4E6C-8F58-726780E18E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242456</xdr:colOff>
      <xdr:row>43</xdr:row>
      <xdr:rowOff>0</xdr:rowOff>
    </xdr:from>
    <xdr:to>
      <xdr:col>9</xdr:col>
      <xdr:colOff>3049</xdr:colOff>
      <xdr:row>68</xdr:row>
      <xdr:rowOff>69273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E9A4C4A-2421-4B68-A6B2-88B005BE09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242456</xdr:colOff>
      <xdr:row>70</xdr:row>
      <xdr:rowOff>0</xdr:rowOff>
    </xdr:from>
    <xdr:to>
      <xdr:col>9</xdr:col>
      <xdr:colOff>3049</xdr:colOff>
      <xdr:row>95</xdr:row>
      <xdr:rowOff>69272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B6EF726-534E-4D7E-8172-863B6C86F1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242456</xdr:colOff>
      <xdr:row>96</xdr:row>
      <xdr:rowOff>124691</xdr:rowOff>
    </xdr:from>
    <xdr:to>
      <xdr:col>9</xdr:col>
      <xdr:colOff>3049</xdr:colOff>
      <xdr:row>122</xdr:row>
      <xdr:rowOff>13855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9163F4E-F5E7-48BA-8A05-04A332A5BC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584198</xdr:colOff>
      <xdr:row>15</xdr:row>
      <xdr:rowOff>43543</xdr:rowOff>
    </xdr:from>
    <xdr:to>
      <xdr:col>13</xdr:col>
      <xdr:colOff>381000</xdr:colOff>
      <xdr:row>40</xdr:row>
      <xdr:rowOff>163286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2E9ADB-EFDE-48A0-807C-E7F1B64D04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559127</xdr:colOff>
      <xdr:row>0</xdr:row>
      <xdr:rowOff>33618</xdr:rowOff>
    </xdr:from>
    <xdr:to>
      <xdr:col>15</xdr:col>
      <xdr:colOff>516587</xdr:colOff>
      <xdr:row>1</xdr:row>
      <xdr:rowOff>287543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03B107-212C-444F-AB93-5AE6DAAED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47167" y="33618"/>
          <a:ext cx="1176660" cy="43680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10886</xdr:colOff>
      <xdr:row>41</xdr:row>
      <xdr:rowOff>108856</xdr:rowOff>
    </xdr:from>
    <xdr:to>
      <xdr:col>13</xdr:col>
      <xdr:colOff>417576</xdr:colOff>
      <xdr:row>67</xdr:row>
      <xdr:rowOff>43106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75F441-B0D5-4BF1-87EF-B0531E008B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70</xdr:row>
      <xdr:rowOff>0</xdr:rowOff>
    </xdr:from>
    <xdr:to>
      <xdr:col>13</xdr:col>
      <xdr:colOff>608108</xdr:colOff>
      <xdr:row>96</xdr:row>
      <xdr:rowOff>170544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1D999F7-7424-490F-956D-1E552A8B2F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98</xdr:row>
      <xdr:rowOff>87085</xdr:rowOff>
    </xdr:from>
    <xdr:to>
      <xdr:col>13</xdr:col>
      <xdr:colOff>608108</xdr:colOff>
      <xdr:row>125</xdr:row>
      <xdr:rowOff>72572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EF2384C-4DE8-42A7-840B-6A809F7FD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571500</xdr:colOff>
      <xdr:row>9</xdr:row>
      <xdr:rowOff>152400</xdr:rowOff>
    </xdr:from>
    <xdr:to>
      <xdr:col>35</xdr:col>
      <xdr:colOff>486156</xdr:colOff>
      <xdr:row>41</xdr:row>
      <xdr:rowOff>36576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370CC91-52FE-43CC-85E0-A6A2E0C30C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590550</xdr:colOff>
      <xdr:row>42</xdr:row>
      <xdr:rowOff>55071</xdr:rowOff>
    </xdr:from>
    <xdr:to>
      <xdr:col>35</xdr:col>
      <xdr:colOff>505206</xdr:colOff>
      <xdr:row>73</xdr:row>
      <xdr:rowOff>129747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95449EF-2172-41E4-8F3F-FFD2BA8F53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0</xdr:colOff>
      <xdr:row>75</xdr:row>
      <xdr:rowOff>39830</xdr:rowOff>
    </xdr:from>
    <xdr:to>
      <xdr:col>35</xdr:col>
      <xdr:colOff>524256</xdr:colOff>
      <xdr:row>106</xdr:row>
      <xdr:rowOff>114506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62DFBC7-4234-4A74-9ED2-6F6C02923E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95250</xdr:colOff>
      <xdr:row>107</xdr:row>
      <xdr:rowOff>163828</xdr:rowOff>
    </xdr:from>
    <xdr:to>
      <xdr:col>36</xdr:col>
      <xdr:colOff>9906</xdr:colOff>
      <xdr:row>139</xdr:row>
      <xdr:rowOff>55624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C5753B1-4B4E-4363-99C3-9DEE7D3905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37</xdr:col>
      <xdr:colOff>0</xdr:colOff>
      <xdr:row>10</xdr:row>
      <xdr:rowOff>0</xdr:rowOff>
    </xdr:from>
    <xdr:to>
      <xdr:col>49</xdr:col>
      <xdr:colOff>392708</xdr:colOff>
      <xdr:row>41</xdr:row>
      <xdr:rowOff>176647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A0DF375-806B-40C7-9F73-0F4E77596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37</xdr:col>
      <xdr:colOff>0</xdr:colOff>
      <xdr:row>44</xdr:row>
      <xdr:rowOff>0</xdr:rowOff>
    </xdr:from>
    <xdr:to>
      <xdr:col>49</xdr:col>
      <xdr:colOff>392708</xdr:colOff>
      <xdr:row>75</xdr:row>
      <xdr:rowOff>176647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4E73146-FC0A-4F49-B4B1-9BAAD2FF52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37</xdr:col>
      <xdr:colOff>0</xdr:colOff>
      <xdr:row>79</xdr:row>
      <xdr:rowOff>0</xdr:rowOff>
    </xdr:from>
    <xdr:to>
      <xdr:col>49</xdr:col>
      <xdr:colOff>392708</xdr:colOff>
      <xdr:row>110</xdr:row>
      <xdr:rowOff>176647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E76FB92-6C25-45AE-8327-4A0BC69644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37</xdr:col>
      <xdr:colOff>0</xdr:colOff>
      <xdr:row>113</xdr:row>
      <xdr:rowOff>0</xdr:rowOff>
    </xdr:from>
    <xdr:to>
      <xdr:col>49</xdr:col>
      <xdr:colOff>392708</xdr:colOff>
      <xdr:row>144</xdr:row>
      <xdr:rowOff>176647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0B64C59-6B30-4436-84EB-12EBF98458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584198</xdr:colOff>
      <xdr:row>13</xdr:row>
      <xdr:rowOff>177798</xdr:rowOff>
    </xdr:from>
    <xdr:to>
      <xdr:col>9</xdr:col>
      <xdr:colOff>484909</xdr:colOff>
      <xdr:row>47</xdr:row>
      <xdr:rowOff>32657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B0804A-3B7B-4F8D-A1CB-00B8F4B70B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559127</xdr:colOff>
      <xdr:row>0</xdr:row>
      <xdr:rowOff>33618</xdr:rowOff>
    </xdr:from>
    <xdr:to>
      <xdr:col>15</xdr:col>
      <xdr:colOff>512777</xdr:colOff>
      <xdr:row>1</xdr:row>
      <xdr:rowOff>283733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D56C94-A37D-4D20-A14E-55461E6B3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47167" y="33618"/>
          <a:ext cx="1176660" cy="43680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609599</xdr:colOff>
      <xdr:row>49</xdr:row>
      <xdr:rowOff>0</xdr:rowOff>
    </xdr:from>
    <xdr:to>
      <xdr:col>9</xdr:col>
      <xdr:colOff>510400</xdr:colOff>
      <xdr:row>82</xdr:row>
      <xdr:rowOff>39916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3C0F5AC-5B30-4EA5-A0DC-48C54ECD06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21771</xdr:colOff>
      <xdr:row>83</xdr:row>
      <xdr:rowOff>43543</xdr:rowOff>
    </xdr:from>
    <xdr:to>
      <xdr:col>9</xdr:col>
      <xdr:colOff>532172</xdr:colOff>
      <xdr:row>116</xdr:row>
      <xdr:rowOff>83459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3CC7DF5-8CC9-4D40-8E9F-3B0A83C014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609599</xdr:colOff>
      <xdr:row>119</xdr:row>
      <xdr:rowOff>0</xdr:rowOff>
    </xdr:from>
    <xdr:to>
      <xdr:col>9</xdr:col>
      <xdr:colOff>510400</xdr:colOff>
      <xdr:row>152</xdr:row>
      <xdr:rowOff>39916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9B23671-99BA-461D-92CB-7B97503D30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595746</xdr:colOff>
      <xdr:row>14</xdr:row>
      <xdr:rowOff>13855</xdr:rowOff>
    </xdr:from>
    <xdr:to>
      <xdr:col>26</xdr:col>
      <xdr:colOff>245504</xdr:colOff>
      <xdr:row>46</xdr:row>
      <xdr:rowOff>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2AFD251-E625-4FB9-95F3-0587536187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0</xdr:colOff>
      <xdr:row>49</xdr:row>
      <xdr:rowOff>0</xdr:rowOff>
    </xdr:from>
    <xdr:to>
      <xdr:col>26</xdr:col>
      <xdr:colOff>259358</xdr:colOff>
      <xdr:row>80</xdr:row>
      <xdr:rowOff>166257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60D2D51-BC19-4FA0-8FBC-E915F2B4D1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568037</xdr:colOff>
      <xdr:row>49</xdr:row>
      <xdr:rowOff>13855</xdr:rowOff>
    </xdr:from>
    <xdr:to>
      <xdr:col>39</xdr:col>
      <xdr:colOff>342485</xdr:colOff>
      <xdr:row>81</xdr:row>
      <xdr:rowOff>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F68B909-963B-4FAB-B4DA-C6B16805C7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26</xdr:col>
      <xdr:colOff>374074</xdr:colOff>
      <xdr:row>13</xdr:row>
      <xdr:rowOff>152401</xdr:rowOff>
    </xdr:from>
    <xdr:to>
      <xdr:col>39</xdr:col>
      <xdr:colOff>148522</xdr:colOff>
      <xdr:row>45</xdr:row>
      <xdr:rowOff>138548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6A931DC-EDAE-4C4C-B942-D299844B70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559127</xdr:colOff>
      <xdr:row>0</xdr:row>
      <xdr:rowOff>33618</xdr:rowOff>
    </xdr:from>
    <xdr:to>
      <xdr:col>15</xdr:col>
      <xdr:colOff>512777</xdr:colOff>
      <xdr:row>1</xdr:row>
      <xdr:rowOff>283733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DA2C22-3011-4530-A6EA-E5D8BB548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56767" y="33618"/>
          <a:ext cx="1176660" cy="43680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609599</xdr:colOff>
      <xdr:row>49</xdr:row>
      <xdr:rowOff>0</xdr:rowOff>
    </xdr:from>
    <xdr:to>
      <xdr:col>9</xdr:col>
      <xdr:colOff>510400</xdr:colOff>
      <xdr:row>82</xdr:row>
      <xdr:rowOff>39916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A704A3-EE8D-491B-8F52-AFBD0F61C0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21771</xdr:colOff>
      <xdr:row>83</xdr:row>
      <xdr:rowOff>43543</xdr:rowOff>
    </xdr:from>
    <xdr:to>
      <xdr:col>9</xdr:col>
      <xdr:colOff>532172</xdr:colOff>
      <xdr:row>116</xdr:row>
      <xdr:rowOff>83459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DBA2490-23C6-4208-A4E7-2565CD45A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609599</xdr:colOff>
      <xdr:row>119</xdr:row>
      <xdr:rowOff>0</xdr:rowOff>
    </xdr:from>
    <xdr:to>
      <xdr:col>9</xdr:col>
      <xdr:colOff>510400</xdr:colOff>
      <xdr:row>152</xdr:row>
      <xdr:rowOff>39916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E78F60E-15C7-419F-8D34-2ACFFD7542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587827</xdr:colOff>
      <xdr:row>14</xdr:row>
      <xdr:rowOff>54428</xdr:rowOff>
    </xdr:from>
    <xdr:to>
      <xdr:col>9</xdr:col>
      <xdr:colOff>488628</xdr:colOff>
      <xdr:row>47</xdr:row>
      <xdr:rowOff>94344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F971714-E133-47E4-B535-8133C6AEA7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581891</xdr:colOff>
      <xdr:row>14</xdr:row>
      <xdr:rowOff>138546</xdr:rowOff>
    </xdr:from>
    <xdr:to>
      <xdr:col>28</xdr:col>
      <xdr:colOff>231649</xdr:colOff>
      <xdr:row>46</xdr:row>
      <xdr:rowOff>124693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727FC0-EB2D-4DD2-BB19-65FC23D9E5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484910</xdr:colOff>
      <xdr:row>14</xdr:row>
      <xdr:rowOff>166254</xdr:rowOff>
    </xdr:from>
    <xdr:to>
      <xdr:col>41</xdr:col>
      <xdr:colOff>259358</xdr:colOff>
      <xdr:row>46</xdr:row>
      <xdr:rowOff>154339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8C419CC-8A5F-4D48-A34B-93088A334D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0</xdr:colOff>
      <xdr:row>49</xdr:row>
      <xdr:rowOff>0</xdr:rowOff>
    </xdr:from>
    <xdr:to>
      <xdr:col>28</xdr:col>
      <xdr:colOff>259358</xdr:colOff>
      <xdr:row>80</xdr:row>
      <xdr:rowOff>166257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A442CF9-9281-419E-91FD-0642025328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28</xdr:col>
      <xdr:colOff>574963</xdr:colOff>
      <xdr:row>49</xdr:row>
      <xdr:rowOff>10391</xdr:rowOff>
    </xdr:from>
    <xdr:to>
      <xdr:col>41</xdr:col>
      <xdr:colOff>349411</xdr:colOff>
      <xdr:row>80</xdr:row>
      <xdr:rowOff>187038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CA2AFB4-3D6F-4C59-AAFA-A697C53A75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10244</xdr:colOff>
      <xdr:row>12</xdr:row>
      <xdr:rowOff>0</xdr:rowOff>
    </xdr:from>
    <xdr:to>
      <xdr:col>7</xdr:col>
      <xdr:colOff>52378</xdr:colOff>
      <xdr:row>23</xdr:row>
      <xdr:rowOff>153009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E70481-DBE1-4112-B67A-5891706BF3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23052</xdr:colOff>
      <xdr:row>11</xdr:row>
      <xdr:rowOff>183136</xdr:rowOff>
    </xdr:from>
    <xdr:to>
      <xdr:col>14</xdr:col>
      <xdr:colOff>65186</xdr:colOff>
      <xdr:row>23</xdr:row>
      <xdr:rowOff>151088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6A3837-7305-4FDB-9932-EC92AF38A8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27</xdr:row>
      <xdr:rowOff>0</xdr:rowOff>
    </xdr:from>
    <xdr:to>
      <xdr:col>7</xdr:col>
      <xdr:colOff>42134</xdr:colOff>
      <xdr:row>38</xdr:row>
      <xdr:rowOff>153010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148EB0-5532-4AEC-8A3C-EA0F40EF86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32657</xdr:colOff>
      <xdr:row>26</xdr:row>
      <xdr:rowOff>119744</xdr:rowOff>
    </xdr:from>
    <xdr:to>
      <xdr:col>14</xdr:col>
      <xdr:colOff>74791</xdr:colOff>
      <xdr:row>38</xdr:row>
      <xdr:rowOff>87697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14CD5D4-B0E9-4815-B666-535C43C571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21770</xdr:colOff>
      <xdr:row>59</xdr:row>
      <xdr:rowOff>43544</xdr:rowOff>
    </xdr:from>
    <xdr:to>
      <xdr:col>7</xdr:col>
      <xdr:colOff>63904</xdr:colOff>
      <xdr:row>71</xdr:row>
      <xdr:rowOff>11495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55BDD9B-4A43-4B59-8A0B-1CEA2D0243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32657</xdr:colOff>
      <xdr:row>73</xdr:row>
      <xdr:rowOff>32657</xdr:rowOff>
    </xdr:from>
    <xdr:to>
      <xdr:col>7</xdr:col>
      <xdr:colOff>74791</xdr:colOff>
      <xdr:row>85</xdr:row>
      <xdr:rowOff>610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2BED259-4BB6-4085-A033-E4B9B54884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47353</xdr:colOff>
      <xdr:row>73</xdr:row>
      <xdr:rowOff>15640</xdr:rowOff>
    </xdr:from>
    <xdr:to>
      <xdr:col>14</xdr:col>
      <xdr:colOff>89487</xdr:colOff>
      <xdr:row>84</xdr:row>
      <xdr:rowOff>162887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7D975B2-89AF-41BD-9057-F1238A98C8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21771</xdr:colOff>
      <xdr:row>108</xdr:row>
      <xdr:rowOff>32657</xdr:rowOff>
    </xdr:from>
    <xdr:to>
      <xdr:col>7</xdr:col>
      <xdr:colOff>63905</xdr:colOff>
      <xdr:row>120</xdr:row>
      <xdr:rowOff>609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A93AF96-343B-443C-9330-39B6D5EA86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43543</xdr:colOff>
      <xdr:row>108</xdr:row>
      <xdr:rowOff>21771</xdr:rowOff>
    </xdr:from>
    <xdr:to>
      <xdr:col>14</xdr:col>
      <xdr:colOff>85677</xdr:colOff>
      <xdr:row>119</xdr:row>
      <xdr:rowOff>174781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98806A6-9D4A-4147-B295-0A4886B8EF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122</xdr:row>
      <xdr:rowOff>43544</xdr:rowOff>
    </xdr:from>
    <xdr:to>
      <xdr:col>7</xdr:col>
      <xdr:colOff>42134</xdr:colOff>
      <xdr:row>134</xdr:row>
      <xdr:rowOff>11496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DC2B697-E8F9-443D-8163-4E8EE048B0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21772</xdr:colOff>
      <xdr:row>122</xdr:row>
      <xdr:rowOff>54429</xdr:rowOff>
    </xdr:from>
    <xdr:to>
      <xdr:col>14</xdr:col>
      <xdr:colOff>63906</xdr:colOff>
      <xdr:row>134</xdr:row>
      <xdr:rowOff>22382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B0603F1-003D-4B0C-A1CF-C7D8F0396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114941</xdr:colOff>
      <xdr:row>146</xdr:row>
      <xdr:rowOff>35860</xdr:rowOff>
    </xdr:from>
    <xdr:to>
      <xdr:col>15</xdr:col>
      <xdr:colOff>185057</xdr:colOff>
      <xdr:row>156</xdr:row>
      <xdr:rowOff>167812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98FC44D7-1EE2-45E3-AD4A-C0636A9F0B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546847</xdr:colOff>
      <xdr:row>59</xdr:row>
      <xdr:rowOff>17930</xdr:rowOff>
    </xdr:from>
    <xdr:to>
      <xdr:col>14</xdr:col>
      <xdr:colOff>51099</xdr:colOff>
      <xdr:row>70</xdr:row>
      <xdr:rowOff>170938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88C07FF0-23F7-4CE9-8062-B7DB612082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21772</xdr:colOff>
      <xdr:row>123</xdr:row>
      <xdr:rowOff>152399</xdr:rowOff>
    </xdr:from>
    <xdr:to>
      <xdr:col>25</xdr:col>
      <xdr:colOff>76201</xdr:colOff>
      <xdr:row>171</xdr:row>
      <xdr:rowOff>119742</xdr:rowOff>
    </xdr:to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7E745374-D6CE-4E1A-B90F-D719A3E0D1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10244</xdr:colOff>
      <xdr:row>12</xdr:row>
      <xdr:rowOff>0</xdr:rowOff>
    </xdr:from>
    <xdr:to>
      <xdr:col>7</xdr:col>
      <xdr:colOff>52378</xdr:colOff>
      <xdr:row>23</xdr:row>
      <xdr:rowOff>153009</xdr:rowOff>
    </xdr:to>
    <xdr:graphicFrame macro="">
      <xdr:nvGraphicFramePr>
        <xdr:cNvPr id="66" name="Chart 65">
          <a:extLst>
            <a:ext uri="{FF2B5EF4-FFF2-40B4-BE49-F238E27FC236}">
              <a16:creationId xmlns:a16="http://schemas.microsoft.com/office/drawing/2014/main" id="{297298D1-CC8E-2E85-D51C-4A340001C9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23052</xdr:colOff>
      <xdr:row>11</xdr:row>
      <xdr:rowOff>183136</xdr:rowOff>
    </xdr:from>
    <xdr:to>
      <xdr:col>14</xdr:col>
      <xdr:colOff>65186</xdr:colOff>
      <xdr:row>23</xdr:row>
      <xdr:rowOff>151088</xdr:rowOff>
    </xdr:to>
    <xdr:graphicFrame macro="">
      <xdr:nvGraphicFramePr>
        <xdr:cNvPr id="71" name="Chart 70">
          <a:extLst>
            <a:ext uri="{FF2B5EF4-FFF2-40B4-BE49-F238E27FC236}">
              <a16:creationId xmlns:a16="http://schemas.microsoft.com/office/drawing/2014/main" id="{C00975F0-2A8B-4F5F-8C7A-140091739D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27</xdr:row>
      <xdr:rowOff>0</xdr:rowOff>
    </xdr:from>
    <xdr:to>
      <xdr:col>7</xdr:col>
      <xdr:colOff>42134</xdr:colOff>
      <xdr:row>38</xdr:row>
      <xdr:rowOff>153010</xdr:rowOff>
    </xdr:to>
    <xdr:graphicFrame macro="">
      <xdr:nvGraphicFramePr>
        <xdr:cNvPr id="72" name="Chart 71">
          <a:extLst>
            <a:ext uri="{FF2B5EF4-FFF2-40B4-BE49-F238E27FC236}">
              <a16:creationId xmlns:a16="http://schemas.microsoft.com/office/drawing/2014/main" id="{CE5AA023-2393-41E7-935E-7D81307FF2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21771</xdr:colOff>
      <xdr:row>26</xdr:row>
      <xdr:rowOff>163287</xdr:rowOff>
    </xdr:from>
    <xdr:to>
      <xdr:col>14</xdr:col>
      <xdr:colOff>63905</xdr:colOff>
      <xdr:row>38</xdr:row>
      <xdr:rowOff>131240</xdr:rowOff>
    </xdr:to>
    <xdr:graphicFrame macro="">
      <xdr:nvGraphicFramePr>
        <xdr:cNvPr id="73" name="Chart 72">
          <a:extLst>
            <a:ext uri="{FF2B5EF4-FFF2-40B4-BE49-F238E27FC236}">
              <a16:creationId xmlns:a16="http://schemas.microsoft.com/office/drawing/2014/main" id="{66D5594F-57AB-4E58-A72C-0785357D67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21770</xdr:colOff>
      <xdr:row>59</xdr:row>
      <xdr:rowOff>10887</xdr:rowOff>
    </xdr:from>
    <xdr:to>
      <xdr:col>7</xdr:col>
      <xdr:colOff>63904</xdr:colOff>
      <xdr:row>70</xdr:row>
      <xdr:rowOff>163895</xdr:rowOff>
    </xdr:to>
    <xdr:graphicFrame macro="">
      <xdr:nvGraphicFramePr>
        <xdr:cNvPr id="74" name="Chart 73">
          <a:extLst>
            <a:ext uri="{FF2B5EF4-FFF2-40B4-BE49-F238E27FC236}">
              <a16:creationId xmlns:a16="http://schemas.microsoft.com/office/drawing/2014/main" id="{34C6F257-A72C-4840-9420-F4104B3942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21772</xdr:colOff>
      <xdr:row>59</xdr:row>
      <xdr:rowOff>21771</xdr:rowOff>
    </xdr:from>
    <xdr:to>
      <xdr:col>14</xdr:col>
      <xdr:colOff>63906</xdr:colOff>
      <xdr:row>70</xdr:row>
      <xdr:rowOff>174780</xdr:rowOff>
    </xdr:to>
    <xdr:graphicFrame macro="">
      <xdr:nvGraphicFramePr>
        <xdr:cNvPr id="75" name="Chart 74">
          <a:extLst>
            <a:ext uri="{FF2B5EF4-FFF2-40B4-BE49-F238E27FC236}">
              <a16:creationId xmlns:a16="http://schemas.microsoft.com/office/drawing/2014/main" id="{82C7F616-B199-4EEF-8DD4-A3F58A9809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32657</xdr:colOff>
      <xdr:row>73</xdr:row>
      <xdr:rowOff>32657</xdr:rowOff>
    </xdr:from>
    <xdr:to>
      <xdr:col>7</xdr:col>
      <xdr:colOff>74791</xdr:colOff>
      <xdr:row>85</xdr:row>
      <xdr:rowOff>610</xdr:rowOff>
    </xdr:to>
    <xdr:graphicFrame macro="">
      <xdr:nvGraphicFramePr>
        <xdr:cNvPr id="76" name="Chart 75">
          <a:extLst>
            <a:ext uri="{FF2B5EF4-FFF2-40B4-BE49-F238E27FC236}">
              <a16:creationId xmlns:a16="http://schemas.microsoft.com/office/drawing/2014/main" id="{9E81D2CA-A294-4B32-8FE8-9E55DCC675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43543</xdr:colOff>
      <xdr:row>73</xdr:row>
      <xdr:rowOff>43543</xdr:rowOff>
    </xdr:from>
    <xdr:to>
      <xdr:col>14</xdr:col>
      <xdr:colOff>85677</xdr:colOff>
      <xdr:row>85</xdr:row>
      <xdr:rowOff>11496</xdr:rowOff>
    </xdr:to>
    <xdr:graphicFrame macro="">
      <xdr:nvGraphicFramePr>
        <xdr:cNvPr id="77" name="Chart 76">
          <a:extLst>
            <a:ext uri="{FF2B5EF4-FFF2-40B4-BE49-F238E27FC236}">
              <a16:creationId xmlns:a16="http://schemas.microsoft.com/office/drawing/2014/main" id="{3D5DA9D6-6EC2-4DED-9AF3-7CFD443ADF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21771</xdr:colOff>
      <xdr:row>108</xdr:row>
      <xdr:rowOff>32657</xdr:rowOff>
    </xdr:from>
    <xdr:to>
      <xdr:col>7</xdr:col>
      <xdr:colOff>63905</xdr:colOff>
      <xdr:row>120</xdr:row>
      <xdr:rowOff>609</xdr:rowOff>
    </xdr:to>
    <xdr:graphicFrame macro="">
      <xdr:nvGraphicFramePr>
        <xdr:cNvPr id="78" name="Chart 77">
          <a:extLst>
            <a:ext uri="{FF2B5EF4-FFF2-40B4-BE49-F238E27FC236}">
              <a16:creationId xmlns:a16="http://schemas.microsoft.com/office/drawing/2014/main" id="{6AE7BFFF-9CB3-41DE-885F-270867586C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43543</xdr:colOff>
      <xdr:row>108</xdr:row>
      <xdr:rowOff>21771</xdr:rowOff>
    </xdr:from>
    <xdr:to>
      <xdr:col>14</xdr:col>
      <xdr:colOff>85677</xdr:colOff>
      <xdr:row>119</xdr:row>
      <xdr:rowOff>174781</xdr:rowOff>
    </xdr:to>
    <xdr:graphicFrame macro="">
      <xdr:nvGraphicFramePr>
        <xdr:cNvPr id="79" name="Chart 78">
          <a:extLst>
            <a:ext uri="{FF2B5EF4-FFF2-40B4-BE49-F238E27FC236}">
              <a16:creationId xmlns:a16="http://schemas.microsoft.com/office/drawing/2014/main" id="{AC372E41-3923-43FB-86D4-0F92D3CF6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0</xdr:colOff>
      <xdr:row>122</xdr:row>
      <xdr:rowOff>43544</xdr:rowOff>
    </xdr:from>
    <xdr:to>
      <xdr:col>7</xdr:col>
      <xdr:colOff>42134</xdr:colOff>
      <xdr:row>134</xdr:row>
      <xdr:rowOff>11496</xdr:rowOff>
    </xdr:to>
    <xdr:graphicFrame macro="">
      <xdr:nvGraphicFramePr>
        <xdr:cNvPr id="80" name="Chart 79">
          <a:extLst>
            <a:ext uri="{FF2B5EF4-FFF2-40B4-BE49-F238E27FC236}">
              <a16:creationId xmlns:a16="http://schemas.microsoft.com/office/drawing/2014/main" id="{9E999B39-BB0A-4D93-8F7B-1A639A64E2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43543</xdr:colOff>
      <xdr:row>122</xdr:row>
      <xdr:rowOff>21772</xdr:rowOff>
    </xdr:from>
    <xdr:to>
      <xdr:col>14</xdr:col>
      <xdr:colOff>85677</xdr:colOff>
      <xdr:row>133</xdr:row>
      <xdr:rowOff>174782</xdr:rowOff>
    </xdr:to>
    <xdr:graphicFrame macro="">
      <xdr:nvGraphicFramePr>
        <xdr:cNvPr id="81" name="Chart 80">
          <a:extLst>
            <a:ext uri="{FF2B5EF4-FFF2-40B4-BE49-F238E27FC236}">
              <a16:creationId xmlns:a16="http://schemas.microsoft.com/office/drawing/2014/main" id="{3C57B85E-8946-4EE2-A8E4-C0DF543818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584198</xdr:colOff>
      <xdr:row>9</xdr:row>
      <xdr:rowOff>177799</xdr:rowOff>
    </xdr:from>
    <xdr:to>
      <xdr:col>14</xdr:col>
      <xdr:colOff>582706</xdr:colOff>
      <xdr:row>36</xdr:row>
      <xdr:rowOff>163286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6B5884-8380-4ACF-8792-4FB633A064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559127</xdr:colOff>
      <xdr:row>0</xdr:row>
      <xdr:rowOff>33618</xdr:rowOff>
    </xdr:from>
    <xdr:to>
      <xdr:col>16</xdr:col>
      <xdr:colOff>512777</xdr:colOff>
      <xdr:row>1</xdr:row>
      <xdr:rowOff>283733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9F7069-534B-4912-9A68-0CA29E849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56767" y="33618"/>
          <a:ext cx="1184280" cy="44061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598714</xdr:colOff>
      <xdr:row>38</xdr:row>
      <xdr:rowOff>65314</xdr:rowOff>
    </xdr:from>
    <xdr:to>
      <xdr:col>14</xdr:col>
      <xdr:colOff>597222</xdr:colOff>
      <xdr:row>65</xdr:row>
      <xdr:rowOff>50802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C034E4-EC8F-4A1F-8513-6FEDC4F003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67</xdr:row>
      <xdr:rowOff>0</xdr:rowOff>
    </xdr:from>
    <xdr:to>
      <xdr:col>14</xdr:col>
      <xdr:colOff>608108</xdr:colOff>
      <xdr:row>93</xdr:row>
      <xdr:rowOff>170545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B7847C7-7869-4FCD-97D5-61E154E5FF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96</xdr:row>
      <xdr:rowOff>0</xdr:rowOff>
    </xdr:from>
    <xdr:to>
      <xdr:col>14</xdr:col>
      <xdr:colOff>608108</xdr:colOff>
      <xdr:row>122</xdr:row>
      <xdr:rowOff>170544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E4AF114-6A17-48F3-B39A-8FAFEC3A21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584198</xdr:colOff>
      <xdr:row>9</xdr:row>
      <xdr:rowOff>177799</xdr:rowOff>
    </xdr:from>
    <xdr:to>
      <xdr:col>14</xdr:col>
      <xdr:colOff>582706</xdr:colOff>
      <xdr:row>36</xdr:row>
      <xdr:rowOff>163286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0F3B4E-E215-40F8-B24C-D6F5863C82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559127</xdr:colOff>
      <xdr:row>0</xdr:row>
      <xdr:rowOff>33618</xdr:rowOff>
    </xdr:from>
    <xdr:to>
      <xdr:col>16</xdr:col>
      <xdr:colOff>516587</xdr:colOff>
      <xdr:row>1</xdr:row>
      <xdr:rowOff>287543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074880-ED81-4D5E-B7FA-3430F63DF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56767" y="33618"/>
          <a:ext cx="1184280" cy="44061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598714</xdr:colOff>
      <xdr:row>38</xdr:row>
      <xdr:rowOff>65314</xdr:rowOff>
    </xdr:from>
    <xdr:to>
      <xdr:col>14</xdr:col>
      <xdr:colOff>597222</xdr:colOff>
      <xdr:row>65</xdr:row>
      <xdr:rowOff>50802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B35F7E-37BC-4642-8975-E4970736D8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67</xdr:row>
      <xdr:rowOff>0</xdr:rowOff>
    </xdr:from>
    <xdr:to>
      <xdr:col>14</xdr:col>
      <xdr:colOff>608108</xdr:colOff>
      <xdr:row>93</xdr:row>
      <xdr:rowOff>170545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A2911C0-D574-4F49-8F21-8CB523DA8F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96</xdr:row>
      <xdr:rowOff>0</xdr:rowOff>
    </xdr:from>
    <xdr:to>
      <xdr:col>14</xdr:col>
      <xdr:colOff>608108</xdr:colOff>
      <xdr:row>122</xdr:row>
      <xdr:rowOff>170544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578A88E-EEB8-4A1B-90E0-7F33F0D2EE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584198</xdr:colOff>
      <xdr:row>9</xdr:row>
      <xdr:rowOff>177799</xdr:rowOff>
    </xdr:from>
    <xdr:to>
      <xdr:col>14</xdr:col>
      <xdr:colOff>582706</xdr:colOff>
      <xdr:row>36</xdr:row>
      <xdr:rowOff>163286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3EC2DF-638B-4DE2-AF37-445D781616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584199</xdr:colOff>
      <xdr:row>44</xdr:row>
      <xdr:rowOff>177799</xdr:rowOff>
    </xdr:from>
    <xdr:to>
      <xdr:col>14</xdr:col>
      <xdr:colOff>593912</xdr:colOff>
      <xdr:row>71</xdr:row>
      <xdr:rowOff>163286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EB8373-7D8A-4A34-9CB0-B6B84153E2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584198</xdr:colOff>
      <xdr:row>79</xdr:row>
      <xdr:rowOff>177798</xdr:rowOff>
    </xdr:from>
    <xdr:to>
      <xdr:col>14</xdr:col>
      <xdr:colOff>605116</xdr:colOff>
      <xdr:row>117</xdr:row>
      <xdr:rowOff>123265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A3CE0A-209A-4E74-B1F1-B1F050F1C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559127</xdr:colOff>
      <xdr:row>0</xdr:row>
      <xdr:rowOff>33618</xdr:rowOff>
    </xdr:from>
    <xdr:to>
      <xdr:col>16</xdr:col>
      <xdr:colOff>524207</xdr:colOff>
      <xdr:row>1</xdr:row>
      <xdr:rowOff>291353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70A43EB-6BC9-4E76-9439-BA94BC9C6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56767" y="33618"/>
          <a:ext cx="1184280" cy="4406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\KILN2%20and%20KILN4%20Rebuild\K%235%20PLC%20IO%20Schecule%20Rev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dust\data\87\8700000\EXCEL\PROGRAMS\CABLETRY\CABLE_SL.BA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CLX"/>
      <sheetName val="IO_LIST"/>
      <sheetName val="IO_LIST (2)"/>
      <sheetName val="Sheet1"/>
      <sheetName val="5F_IOList"/>
      <sheetName val="5F_IOList (2)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ble Schedul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702AC-3D04-45FB-9C11-9A49E8D1AD3C}">
  <dimension ref="A1:T127"/>
  <sheetViews>
    <sheetView topLeftCell="A61" zoomScale="70" zoomScaleNormal="70" workbookViewId="0">
      <selection activeCell="V69" sqref="V69"/>
    </sheetView>
  </sheetViews>
  <sheetFormatPr defaultRowHeight="14.4" x14ac:dyDescent="0.3"/>
  <cols>
    <col min="2" max="2" width="53.5546875" customWidth="1"/>
    <col min="3" max="6" width="18.44140625" customWidth="1"/>
    <col min="7" max="7" width="17.5546875" customWidth="1"/>
    <col min="8" max="9" width="8.88671875" hidden="1" customWidth="1"/>
    <col min="10" max="10" width="2.109375" hidden="1" customWidth="1"/>
    <col min="11" max="13" width="8.88671875" hidden="1" customWidth="1"/>
    <col min="14" max="14" width="1.88671875" hidden="1" customWidth="1"/>
    <col min="15" max="16" width="8.88671875" hidden="1" customWidth="1"/>
    <col min="17" max="17" width="8.88671875" style="1"/>
    <col min="18" max="18" width="11.6640625" style="16" customWidth="1"/>
    <col min="19" max="20" width="8.88671875" style="16"/>
  </cols>
  <sheetData>
    <row r="1" spans="1:19" x14ac:dyDescent="0.3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9" ht="30.6" customHeight="1" x14ac:dyDescent="0.3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</row>
    <row r="3" spans="1:19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4"/>
    </row>
    <row r="4" spans="1:19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3"/>
      <c r="P4" s="4"/>
    </row>
    <row r="5" spans="1:19" ht="15.6" x14ac:dyDescent="0.3">
      <c r="A5" s="2"/>
      <c r="B5" s="2"/>
      <c r="C5" s="6" t="s">
        <v>14</v>
      </c>
      <c r="D5" s="6" t="s">
        <v>15</v>
      </c>
      <c r="E5" s="6" t="s">
        <v>16</v>
      </c>
      <c r="F5" s="6" t="s">
        <v>34</v>
      </c>
      <c r="G5" s="15"/>
      <c r="H5" s="15"/>
      <c r="I5" s="15"/>
      <c r="J5" s="15"/>
      <c r="K5" s="7"/>
      <c r="L5" s="7"/>
      <c r="M5" s="2"/>
      <c r="N5" s="3"/>
      <c r="O5" s="4"/>
      <c r="P5" s="1"/>
    </row>
    <row r="6" spans="1:19" ht="15.6" x14ac:dyDescent="0.3">
      <c r="A6" s="2"/>
      <c r="B6" s="8" t="s">
        <v>1</v>
      </c>
      <c r="C6" s="9">
        <v>1</v>
      </c>
      <c r="D6" s="9">
        <v>1</v>
      </c>
      <c r="E6" s="9">
        <v>1</v>
      </c>
      <c r="F6" s="9">
        <v>1</v>
      </c>
      <c r="G6" s="10"/>
      <c r="H6" s="10"/>
      <c r="I6" s="10"/>
      <c r="J6" s="10"/>
      <c r="K6" s="10"/>
      <c r="L6" s="10"/>
      <c r="M6" s="2"/>
      <c r="N6" s="3"/>
      <c r="O6" s="4"/>
      <c r="P6" s="1"/>
    </row>
    <row r="7" spans="1:19" ht="15.6" x14ac:dyDescent="0.3">
      <c r="A7" s="2"/>
      <c r="B7" s="8" t="s">
        <v>2</v>
      </c>
      <c r="C7" s="9">
        <v>8</v>
      </c>
      <c r="D7" s="9">
        <v>8</v>
      </c>
      <c r="E7" s="9">
        <v>8</v>
      </c>
      <c r="F7" s="9">
        <v>8</v>
      </c>
      <c r="G7" s="10"/>
      <c r="H7" s="10"/>
      <c r="I7" s="10"/>
      <c r="J7" s="10"/>
      <c r="K7" s="10"/>
      <c r="L7" s="10"/>
      <c r="M7" s="2"/>
      <c r="N7" s="3"/>
      <c r="O7" s="4"/>
      <c r="P7" s="1"/>
    </row>
    <row r="8" spans="1:19" ht="15.6" x14ac:dyDescent="0.3">
      <c r="A8" s="2"/>
      <c r="B8" s="8" t="s">
        <v>3</v>
      </c>
      <c r="C8" s="9">
        <v>0</v>
      </c>
      <c r="D8" s="9">
        <v>0</v>
      </c>
      <c r="E8" s="9">
        <v>1</v>
      </c>
      <c r="F8" s="9">
        <v>1</v>
      </c>
      <c r="G8" s="10"/>
      <c r="H8" s="10"/>
      <c r="I8" s="10"/>
      <c r="J8" s="10"/>
      <c r="K8" s="10"/>
      <c r="L8" s="10"/>
      <c r="M8" s="2"/>
      <c r="N8" s="3"/>
      <c r="O8" s="4"/>
      <c r="P8" s="1"/>
    </row>
    <row r="9" spans="1:19" ht="15.6" x14ac:dyDescent="0.3">
      <c r="A9" s="2"/>
      <c r="B9" s="11" t="s">
        <v>4</v>
      </c>
      <c r="C9" s="9">
        <v>1</v>
      </c>
      <c r="D9" s="9">
        <v>2</v>
      </c>
      <c r="E9" s="9">
        <v>2</v>
      </c>
      <c r="F9" s="9">
        <v>2</v>
      </c>
      <c r="G9" s="10"/>
      <c r="H9" s="10"/>
      <c r="I9" s="10"/>
      <c r="J9" s="10"/>
      <c r="K9" s="10"/>
      <c r="L9" s="10"/>
      <c r="M9" s="2"/>
      <c r="N9" s="3"/>
      <c r="O9" s="4"/>
      <c r="P9" s="1"/>
    </row>
    <row r="10" spans="1:19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3"/>
      <c r="P10" s="4"/>
    </row>
    <row r="11" spans="1:19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3"/>
      <c r="P11" s="4"/>
    </row>
    <row r="12" spans="1:19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3"/>
      <c r="P12" s="4"/>
      <c r="R12" s="16" t="s">
        <v>35</v>
      </c>
      <c r="S12" s="16">
        <v>5</v>
      </c>
    </row>
    <row r="13" spans="1:19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3"/>
      <c r="P13" s="4"/>
      <c r="R13" s="16" t="s">
        <v>36</v>
      </c>
      <c r="S13" s="16">
        <v>7</v>
      </c>
    </row>
    <row r="14" spans="1:19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3"/>
      <c r="P14" s="4"/>
      <c r="R14" s="16" t="s">
        <v>37</v>
      </c>
      <c r="S14" s="16">
        <v>22</v>
      </c>
    </row>
    <row r="15" spans="1:19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3"/>
      <c r="P15" s="4"/>
      <c r="R15" s="16" t="s">
        <v>38</v>
      </c>
      <c r="S15" s="16">
        <v>18</v>
      </c>
    </row>
    <row r="16" spans="1:19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3"/>
      <c r="P16" s="4"/>
      <c r="R16" s="16" t="s">
        <v>39</v>
      </c>
      <c r="S16" s="16">
        <v>25</v>
      </c>
    </row>
    <row r="17" spans="1:19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3"/>
      <c r="P17" s="4"/>
      <c r="R17" s="16" t="s">
        <v>40</v>
      </c>
      <c r="S17" s="16">
        <v>10</v>
      </c>
    </row>
    <row r="18" spans="1:19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3"/>
      <c r="P18" s="4"/>
    </row>
    <row r="19" spans="1:19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3"/>
      <c r="P19" s="4"/>
    </row>
    <row r="20" spans="1:19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3"/>
      <c r="P20" s="4"/>
    </row>
    <row r="21" spans="1:19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3"/>
      <c r="P21" s="4"/>
    </row>
    <row r="22" spans="1:19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3"/>
      <c r="P22" s="4"/>
      <c r="S22" s="16">
        <f>SUM(S12:S21)</f>
        <v>87</v>
      </c>
    </row>
    <row r="23" spans="1:19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3"/>
      <c r="P23" s="4"/>
    </row>
    <row r="24" spans="1:19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3"/>
      <c r="P24" s="4"/>
    </row>
    <row r="25" spans="1:19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3"/>
      <c r="P25" s="4"/>
    </row>
    <row r="26" spans="1:19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3"/>
      <c r="P26" s="4"/>
    </row>
    <row r="27" spans="1:19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3"/>
      <c r="P27" s="4"/>
    </row>
    <row r="28" spans="1:19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3"/>
      <c r="P28" s="4"/>
    </row>
    <row r="29" spans="1:19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3"/>
      <c r="P29" s="4"/>
    </row>
    <row r="30" spans="1:19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3"/>
      <c r="P30" s="4"/>
    </row>
    <row r="31" spans="1:19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3"/>
      <c r="P31" s="4"/>
    </row>
    <row r="32" spans="1:19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3"/>
      <c r="P32" s="4"/>
    </row>
    <row r="33" spans="1:20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3"/>
      <c r="P33" s="4"/>
    </row>
    <row r="34" spans="1:20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3"/>
      <c r="P34" s="4"/>
    </row>
    <row r="35" spans="1:20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3"/>
      <c r="P35" s="4"/>
    </row>
    <row r="36" spans="1:20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3"/>
      <c r="P36" s="4"/>
    </row>
    <row r="37" spans="1:20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3"/>
      <c r="P37" s="4"/>
    </row>
    <row r="38" spans="1:20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/>
      <c r="P38" s="4"/>
    </row>
    <row r="39" spans="1:20" s="1" customForma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3"/>
      <c r="P39" s="4"/>
      <c r="R39" s="16"/>
      <c r="S39" s="16"/>
      <c r="T39" s="16"/>
    </row>
    <row r="40" spans="1:20" s="1" customForma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3"/>
      <c r="P40" s="4"/>
      <c r="R40" s="16"/>
      <c r="S40" s="16"/>
      <c r="T40" s="16"/>
    </row>
    <row r="41" spans="1:20" s="1" customForma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3"/>
      <c r="P41" s="4"/>
      <c r="R41" s="16"/>
      <c r="S41" s="16"/>
      <c r="T41" s="16"/>
    </row>
    <row r="42" spans="1:20" s="1" customForma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3"/>
      <c r="P42" s="4"/>
      <c r="R42" s="16"/>
      <c r="S42" s="16"/>
      <c r="T42" s="16"/>
    </row>
    <row r="43" spans="1:20" s="1" customForma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3"/>
      <c r="P43" s="4"/>
      <c r="R43" s="16"/>
      <c r="S43" s="16"/>
      <c r="T43" s="16"/>
    </row>
    <row r="44" spans="1:20" s="1" customForma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3"/>
      <c r="P44" s="4"/>
      <c r="R44" s="16"/>
      <c r="S44" s="16"/>
      <c r="T44" s="16"/>
    </row>
    <row r="45" spans="1:20" s="1" customForma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3"/>
      <c r="P45" s="4"/>
      <c r="R45" s="16"/>
      <c r="S45" s="16"/>
      <c r="T45" s="16"/>
    </row>
    <row r="46" spans="1:20" s="1" customForma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3"/>
      <c r="P46" s="4"/>
      <c r="R46" s="16"/>
      <c r="S46" s="16"/>
      <c r="T46" s="16"/>
    </row>
    <row r="47" spans="1:20" s="1" customForma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3"/>
      <c r="P47" s="4"/>
      <c r="R47" s="16"/>
      <c r="S47" s="16"/>
      <c r="T47" s="16"/>
    </row>
    <row r="48" spans="1:20" s="1" customForma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3"/>
      <c r="P48" s="4"/>
      <c r="R48" s="16"/>
      <c r="S48" s="16"/>
      <c r="T48" s="16"/>
    </row>
    <row r="49" spans="1:20" s="1" customForma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3"/>
      <c r="P49" s="4"/>
      <c r="R49" s="16"/>
      <c r="S49" s="16"/>
      <c r="T49" s="16"/>
    </row>
    <row r="50" spans="1:20" s="1" customForma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3"/>
      <c r="P50" s="4"/>
      <c r="R50" s="16"/>
      <c r="S50" s="16"/>
      <c r="T50" s="16"/>
    </row>
    <row r="51" spans="1:20" s="1" customForma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3"/>
      <c r="P51" s="4"/>
      <c r="R51" s="16"/>
      <c r="S51" s="16"/>
      <c r="T51" s="16"/>
    </row>
    <row r="52" spans="1:20" s="1" customForma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3"/>
      <c r="P52" s="4"/>
      <c r="R52" s="16"/>
      <c r="S52" s="16"/>
      <c r="T52" s="16"/>
    </row>
    <row r="53" spans="1:20" s="1" customForma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3"/>
      <c r="P53" s="4"/>
      <c r="R53" s="16"/>
      <c r="S53" s="16"/>
      <c r="T53" s="16"/>
    </row>
    <row r="54" spans="1:20" s="1" customForma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3"/>
      <c r="P54" s="4"/>
      <c r="R54" s="16"/>
      <c r="S54" s="16"/>
      <c r="T54" s="16"/>
    </row>
    <row r="55" spans="1:20" s="1" customForma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3"/>
      <c r="P55" s="4"/>
      <c r="R55" s="16"/>
      <c r="S55" s="16"/>
      <c r="T55" s="16"/>
    </row>
    <row r="56" spans="1:20" s="1" customForma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"/>
      <c r="P56" s="4"/>
      <c r="R56" s="16"/>
      <c r="S56" s="16"/>
      <c r="T56" s="16"/>
    </row>
    <row r="57" spans="1:20" s="1" customForma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3"/>
      <c r="P57" s="4"/>
      <c r="R57" s="16"/>
      <c r="S57" s="16"/>
      <c r="T57" s="16"/>
    </row>
    <row r="58" spans="1:20" s="1" customForma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"/>
      <c r="P58" s="4"/>
      <c r="R58" s="16"/>
      <c r="S58" s="16"/>
      <c r="T58" s="16"/>
    </row>
    <row r="59" spans="1:20" s="1" customForma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4"/>
      <c r="R59" s="16"/>
      <c r="S59" s="16"/>
      <c r="T59" s="16"/>
    </row>
    <row r="60" spans="1:20" s="1" customForma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3"/>
      <c r="P60" s="4"/>
      <c r="R60" s="16"/>
      <c r="S60" s="16"/>
      <c r="T60" s="16"/>
    </row>
    <row r="61" spans="1:20" s="1" customForma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3"/>
      <c r="P61" s="4"/>
      <c r="R61" s="16"/>
      <c r="S61" s="16"/>
      <c r="T61" s="16"/>
    </row>
    <row r="62" spans="1:20" s="1" customForma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3"/>
      <c r="P62" s="4"/>
      <c r="R62" s="16"/>
      <c r="S62" s="16"/>
      <c r="T62" s="16"/>
    </row>
    <row r="63" spans="1:20" s="1" customForma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3"/>
      <c r="P63" s="4"/>
      <c r="R63" s="16"/>
      <c r="S63" s="16"/>
      <c r="T63" s="16"/>
    </row>
    <row r="64" spans="1:20" s="1" customForma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3"/>
      <c r="P64" s="4"/>
      <c r="R64" s="16"/>
      <c r="S64" s="16"/>
      <c r="T64" s="16"/>
    </row>
    <row r="65" spans="1:20" s="1" customForma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3"/>
      <c r="P65" s="4"/>
      <c r="R65" s="16"/>
      <c r="S65" s="16"/>
      <c r="T65" s="16"/>
    </row>
    <row r="66" spans="1:20" s="1" customForma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3"/>
      <c r="P66" s="4"/>
      <c r="R66" s="16"/>
      <c r="S66" s="16"/>
      <c r="T66" s="16"/>
    </row>
    <row r="67" spans="1:20" s="1" customForma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3"/>
      <c r="P67" s="4"/>
      <c r="R67" s="16"/>
      <c r="S67" s="16"/>
      <c r="T67" s="16"/>
    </row>
    <row r="68" spans="1:20" s="1" customForma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3"/>
      <c r="P68" s="4"/>
      <c r="R68" s="16"/>
      <c r="S68" s="16"/>
      <c r="T68" s="16"/>
    </row>
    <row r="69" spans="1:20" s="1" customForma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3"/>
      <c r="P69" s="4"/>
      <c r="R69" s="16"/>
      <c r="S69" s="16"/>
      <c r="T69" s="16"/>
    </row>
    <row r="70" spans="1:20" s="1" customForma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3"/>
      <c r="P70" s="4"/>
      <c r="R70" s="16"/>
      <c r="S70" s="16"/>
      <c r="T70" s="16"/>
    </row>
    <row r="71" spans="1:20" s="1" customForma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/>
      <c r="P71" s="4"/>
      <c r="R71" s="16"/>
      <c r="S71" s="16"/>
      <c r="T71" s="16"/>
    </row>
    <row r="72" spans="1:20" s="1" customForma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3"/>
      <c r="P72" s="4"/>
      <c r="R72" s="16"/>
      <c r="S72" s="16"/>
      <c r="T72" s="16"/>
    </row>
    <row r="73" spans="1:20" s="1" customForma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3"/>
      <c r="P73" s="4"/>
      <c r="R73" s="16"/>
      <c r="S73" s="16"/>
      <c r="T73" s="16"/>
    </row>
    <row r="74" spans="1:20" s="1" customForma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3"/>
      <c r="P74" s="4"/>
      <c r="R74" s="16"/>
      <c r="S74" s="16"/>
      <c r="T74" s="16"/>
    </row>
    <row r="75" spans="1:20" s="1" customForma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3"/>
      <c r="P75" s="4"/>
      <c r="R75" s="16"/>
      <c r="S75" s="16"/>
      <c r="T75" s="16"/>
    </row>
    <row r="76" spans="1:20" s="1" customForma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3"/>
      <c r="P76" s="4"/>
      <c r="R76" s="16"/>
      <c r="S76" s="16"/>
      <c r="T76" s="16"/>
    </row>
    <row r="77" spans="1:20" s="1" customForma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3"/>
      <c r="P77" s="4"/>
      <c r="R77" s="16"/>
      <c r="S77" s="16"/>
      <c r="T77" s="16"/>
    </row>
    <row r="78" spans="1:20" s="1" customForma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3"/>
      <c r="P78" s="4"/>
      <c r="R78" s="16"/>
      <c r="S78" s="16"/>
      <c r="T78" s="16"/>
    </row>
    <row r="79" spans="1:20" s="1" customForma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3"/>
      <c r="P79" s="4"/>
      <c r="R79" s="16"/>
      <c r="S79" s="16"/>
      <c r="T79" s="16"/>
    </row>
    <row r="80" spans="1:20" s="1" customForma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3"/>
      <c r="P80" s="4"/>
      <c r="R80" s="16"/>
      <c r="S80" s="16"/>
      <c r="T80" s="16"/>
    </row>
    <row r="81" spans="1:20" s="1" customForma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3"/>
      <c r="P81" s="4"/>
      <c r="R81" s="16"/>
      <c r="S81" s="16"/>
      <c r="T81" s="16"/>
    </row>
    <row r="82" spans="1:20" s="1" customForma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3"/>
      <c r="P82" s="4"/>
      <c r="R82" s="16"/>
      <c r="S82" s="16"/>
      <c r="T82" s="16"/>
    </row>
    <row r="83" spans="1:20" s="1" customForma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3"/>
      <c r="P83" s="4"/>
      <c r="R83" s="16"/>
      <c r="S83" s="16"/>
      <c r="T83" s="16"/>
    </row>
    <row r="84" spans="1:20" s="1" customForma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3"/>
      <c r="P84" s="4"/>
      <c r="R84" s="16"/>
      <c r="S84" s="16"/>
      <c r="T84" s="16"/>
    </row>
    <row r="85" spans="1:20" s="1" customForma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3"/>
      <c r="P85" s="4"/>
      <c r="R85" s="16"/>
      <c r="S85" s="16"/>
      <c r="T85" s="16"/>
    </row>
    <row r="86" spans="1:20" s="1" customForma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3"/>
      <c r="P86" s="4"/>
      <c r="R86" s="16"/>
      <c r="S86" s="16"/>
      <c r="T86" s="16"/>
    </row>
    <row r="87" spans="1:20" s="1" customForma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3"/>
      <c r="P87" s="4"/>
      <c r="R87" s="16"/>
      <c r="S87" s="16"/>
      <c r="T87" s="16"/>
    </row>
    <row r="88" spans="1:20" s="1" customForma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3"/>
      <c r="P88" s="4"/>
      <c r="R88" s="16"/>
      <c r="S88" s="16"/>
      <c r="T88" s="16"/>
    </row>
    <row r="89" spans="1:20" s="1" customForma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3"/>
      <c r="P89" s="4"/>
      <c r="R89" s="16"/>
      <c r="S89" s="16"/>
      <c r="T89" s="16"/>
    </row>
    <row r="90" spans="1:20" s="1" customForma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3"/>
      <c r="P90" s="4"/>
      <c r="R90" s="16"/>
      <c r="S90" s="16"/>
      <c r="T90" s="16"/>
    </row>
    <row r="91" spans="1:20" s="1" customForma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3"/>
      <c r="P91" s="4"/>
      <c r="R91" s="16"/>
      <c r="S91" s="16"/>
      <c r="T91" s="16"/>
    </row>
    <row r="92" spans="1:20" s="1" customForma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3"/>
      <c r="P92" s="4"/>
      <c r="R92" s="16"/>
      <c r="S92" s="16"/>
      <c r="T92" s="16"/>
    </row>
    <row r="93" spans="1:20" s="1" customForma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3"/>
      <c r="P93" s="4"/>
      <c r="R93" s="16"/>
      <c r="S93" s="16"/>
      <c r="T93" s="16"/>
    </row>
    <row r="94" spans="1:20" s="1" customForma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3"/>
      <c r="P94" s="4"/>
      <c r="R94" s="16"/>
      <c r="S94" s="16"/>
      <c r="T94" s="16"/>
    </row>
    <row r="95" spans="1:20" s="1" customForma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3"/>
      <c r="P95" s="4"/>
      <c r="R95" s="16"/>
      <c r="S95" s="16"/>
      <c r="T95" s="16"/>
    </row>
    <row r="96" spans="1:20" s="1" customForma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3"/>
      <c r="P96" s="4"/>
      <c r="R96" s="16"/>
      <c r="S96" s="16"/>
      <c r="T96" s="16"/>
    </row>
    <row r="97" spans="1:20" s="1" customForma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3"/>
      <c r="P97" s="4"/>
      <c r="R97" s="16"/>
      <c r="S97" s="16"/>
      <c r="T97" s="16"/>
    </row>
    <row r="98" spans="1:20" s="1" customForma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3"/>
      <c r="P98" s="4"/>
      <c r="R98" s="16"/>
      <c r="S98" s="16"/>
      <c r="T98" s="16"/>
    </row>
    <row r="99" spans="1:20" s="1" customForma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3"/>
      <c r="P99" s="4"/>
      <c r="R99" s="16"/>
      <c r="S99" s="16"/>
      <c r="T99" s="16"/>
    </row>
    <row r="100" spans="1:20" s="1" customForma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3"/>
      <c r="P100" s="4"/>
      <c r="R100" s="16"/>
      <c r="S100" s="16"/>
      <c r="T100" s="16"/>
    </row>
    <row r="101" spans="1:20" s="1" customForma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3"/>
      <c r="P101" s="4"/>
      <c r="R101" s="16"/>
      <c r="S101" s="16"/>
      <c r="T101" s="16"/>
    </row>
    <row r="102" spans="1:20" s="1" customForma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3"/>
      <c r="P102" s="4"/>
      <c r="R102" s="16"/>
      <c r="S102" s="16"/>
      <c r="T102" s="16"/>
    </row>
    <row r="103" spans="1:20" s="1" customForma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3"/>
      <c r="P103" s="4"/>
      <c r="R103" s="16"/>
      <c r="S103" s="16"/>
      <c r="T103" s="16"/>
    </row>
    <row r="104" spans="1:20" s="1" customFormat="1" x14ac:dyDescent="0.3">
      <c r="A104"/>
      <c r="B104"/>
      <c r="C104"/>
      <c r="D104"/>
      <c r="E104"/>
      <c r="F104"/>
      <c r="G104"/>
      <c r="H104" s="2"/>
      <c r="I104" s="2"/>
      <c r="J104" s="2"/>
      <c r="K104" s="2"/>
      <c r="L104" s="2"/>
      <c r="M104" s="2"/>
      <c r="N104" s="2"/>
      <c r="O104" s="3"/>
      <c r="P104" s="4"/>
      <c r="R104" s="16"/>
      <c r="S104" s="16"/>
      <c r="T104" s="16"/>
    </row>
    <row r="105" spans="1:20" s="1" customFormat="1" x14ac:dyDescent="0.3">
      <c r="A105"/>
      <c r="B105"/>
      <c r="C105"/>
      <c r="D105"/>
      <c r="E105"/>
      <c r="F105"/>
      <c r="G105"/>
      <c r="H105" s="2"/>
      <c r="I105" s="2"/>
      <c r="J105" s="2"/>
      <c r="K105" s="2"/>
      <c r="L105" s="2"/>
      <c r="M105" s="2"/>
      <c r="N105" s="2"/>
      <c r="O105" s="3"/>
      <c r="P105" s="4"/>
      <c r="R105" s="16"/>
      <c r="S105" s="16"/>
      <c r="T105" s="16"/>
    </row>
    <row r="106" spans="1:20" s="1" customFormat="1" x14ac:dyDescent="0.3">
      <c r="A106"/>
      <c r="B106"/>
      <c r="C106"/>
      <c r="D106"/>
      <c r="E106"/>
      <c r="F106"/>
      <c r="G106"/>
      <c r="H106" s="2"/>
      <c r="I106" s="2"/>
      <c r="J106" s="2"/>
      <c r="K106" s="2"/>
      <c r="L106" s="2"/>
      <c r="M106" s="2"/>
      <c r="N106" s="2"/>
      <c r="O106" s="3"/>
      <c r="P106" s="4"/>
      <c r="R106" s="16"/>
      <c r="S106" s="16"/>
      <c r="T106" s="16"/>
    </row>
    <row r="107" spans="1:20" s="1" customFormat="1" x14ac:dyDescent="0.3">
      <c r="A107"/>
      <c r="B107"/>
      <c r="C107"/>
      <c r="D107"/>
      <c r="E107"/>
      <c r="F107"/>
      <c r="G107"/>
      <c r="H107" s="2"/>
      <c r="I107" s="2"/>
      <c r="J107" s="2"/>
      <c r="K107" s="2"/>
      <c r="L107" s="2"/>
      <c r="M107" s="2"/>
      <c r="N107" s="2"/>
      <c r="O107" s="3"/>
      <c r="P107" s="4"/>
      <c r="R107" s="16"/>
      <c r="S107" s="16"/>
      <c r="T107" s="16"/>
    </row>
    <row r="108" spans="1:20" s="1" customFormat="1" x14ac:dyDescent="0.3">
      <c r="A108"/>
      <c r="B108"/>
      <c r="C108"/>
      <c r="D108"/>
      <c r="E108"/>
      <c r="F108"/>
      <c r="G108"/>
      <c r="H108" s="2"/>
      <c r="I108" s="2"/>
      <c r="J108" s="2"/>
      <c r="K108" s="2"/>
      <c r="L108" s="2"/>
      <c r="M108" s="2"/>
      <c r="N108" s="2"/>
      <c r="O108" s="3"/>
      <c r="P108" s="4"/>
      <c r="R108" s="16"/>
      <c r="S108" s="16"/>
      <c r="T108" s="16"/>
    </row>
    <row r="109" spans="1:20" s="1" customFormat="1" x14ac:dyDescent="0.3">
      <c r="A109"/>
      <c r="B109"/>
      <c r="C109"/>
      <c r="D109"/>
      <c r="E109"/>
      <c r="F109"/>
      <c r="G109"/>
      <c r="H109" s="2"/>
      <c r="I109" s="2"/>
      <c r="J109" s="2"/>
      <c r="K109" s="2"/>
      <c r="L109" s="2"/>
      <c r="M109" s="2"/>
      <c r="N109" s="2"/>
      <c r="O109" s="3"/>
      <c r="P109" s="4"/>
      <c r="R109" s="16"/>
      <c r="S109" s="16"/>
      <c r="T109" s="16"/>
    </row>
    <row r="110" spans="1:20" s="1" customFormat="1" x14ac:dyDescent="0.3">
      <c r="A110"/>
      <c r="B110"/>
      <c r="C110"/>
      <c r="D110"/>
      <c r="E110"/>
      <c r="F110"/>
      <c r="G110"/>
      <c r="H110" s="2"/>
      <c r="I110" s="2"/>
      <c r="J110" s="2"/>
      <c r="K110" s="2"/>
      <c r="L110" s="2"/>
      <c r="M110" s="2"/>
      <c r="N110" s="2"/>
      <c r="O110" s="13"/>
      <c r="P110" s="14"/>
      <c r="R110" s="16"/>
      <c r="S110" s="16"/>
      <c r="T110" s="16"/>
    </row>
    <row r="111" spans="1:20" x14ac:dyDescent="0.3">
      <c r="H111" s="2"/>
      <c r="I111" s="2"/>
      <c r="J111" s="2"/>
      <c r="K111" s="2"/>
      <c r="L111" s="2"/>
      <c r="M111" s="2"/>
      <c r="N111" s="2"/>
    </row>
    <row r="112" spans="1:20" x14ac:dyDescent="0.3">
      <c r="H112" s="2"/>
      <c r="I112" s="2"/>
      <c r="J112" s="2"/>
      <c r="K112" s="2"/>
      <c r="L112" s="2"/>
      <c r="M112" s="2"/>
      <c r="N112" s="2"/>
    </row>
    <row r="113" spans="8:14" x14ac:dyDescent="0.3">
      <c r="H113" s="2"/>
      <c r="I113" s="2"/>
      <c r="J113" s="2"/>
      <c r="K113" s="2"/>
      <c r="L113" s="2"/>
      <c r="M113" s="2"/>
      <c r="N113" s="2"/>
    </row>
    <row r="114" spans="8:14" x14ac:dyDescent="0.3">
      <c r="H114" s="2"/>
      <c r="I114" s="2"/>
      <c r="J114" s="2"/>
      <c r="K114" s="2"/>
      <c r="L114" s="2"/>
      <c r="M114" s="2"/>
      <c r="N114" s="2"/>
    </row>
    <row r="115" spans="8:14" x14ac:dyDescent="0.3">
      <c r="H115" s="2"/>
      <c r="I115" s="2"/>
      <c r="J115" s="2"/>
      <c r="K115" s="2"/>
      <c r="L115" s="2"/>
      <c r="M115" s="2"/>
      <c r="N115" s="2"/>
    </row>
    <row r="116" spans="8:14" x14ac:dyDescent="0.3">
      <c r="H116" s="2"/>
      <c r="I116" s="2"/>
      <c r="J116" s="2"/>
      <c r="K116" s="2"/>
      <c r="L116" s="2"/>
      <c r="M116" s="2"/>
      <c r="N116" s="2"/>
    </row>
    <row r="117" spans="8:14" x14ac:dyDescent="0.3">
      <c r="H117" s="2"/>
      <c r="I117" s="2"/>
      <c r="J117" s="2"/>
      <c r="K117" s="2"/>
      <c r="L117" s="2"/>
      <c r="M117" s="2"/>
      <c r="N117" s="2"/>
    </row>
    <row r="118" spans="8:14" x14ac:dyDescent="0.3">
      <c r="H118" s="2"/>
      <c r="I118" s="2"/>
      <c r="J118" s="2"/>
      <c r="K118" s="2"/>
      <c r="L118" s="2"/>
      <c r="M118" s="2"/>
      <c r="N118" s="2"/>
    </row>
    <row r="119" spans="8:14" x14ac:dyDescent="0.3">
      <c r="H119" s="2"/>
      <c r="I119" s="2"/>
      <c r="J119" s="2"/>
      <c r="K119" s="2"/>
      <c r="L119" s="2"/>
      <c r="M119" s="2"/>
      <c r="N119" s="2"/>
    </row>
    <row r="120" spans="8:14" x14ac:dyDescent="0.3">
      <c r="H120" s="2"/>
      <c r="I120" s="2"/>
      <c r="J120" s="2"/>
      <c r="K120" s="2"/>
      <c r="L120" s="2"/>
      <c r="M120" s="2"/>
      <c r="N120" s="2"/>
    </row>
    <row r="121" spans="8:14" x14ac:dyDescent="0.3">
      <c r="H121" s="2"/>
      <c r="I121" s="2"/>
      <c r="J121" s="2"/>
      <c r="K121" s="2"/>
      <c r="L121" s="2"/>
      <c r="M121" s="2"/>
      <c r="N121" s="2"/>
    </row>
    <row r="122" spans="8:14" x14ac:dyDescent="0.3">
      <c r="H122" s="2"/>
      <c r="I122" s="2"/>
      <c r="J122" s="2"/>
      <c r="K122" s="2"/>
      <c r="L122" s="2"/>
      <c r="M122" s="2"/>
      <c r="N122" s="2"/>
    </row>
    <row r="123" spans="8:14" x14ac:dyDescent="0.3">
      <c r="H123" s="2"/>
      <c r="I123" s="2"/>
      <c r="J123" s="2"/>
      <c r="K123" s="2"/>
      <c r="L123" s="2"/>
      <c r="M123" s="2"/>
      <c r="N123" s="2"/>
    </row>
    <row r="124" spans="8:14" x14ac:dyDescent="0.3">
      <c r="H124" s="2"/>
      <c r="I124" s="2"/>
      <c r="J124" s="2"/>
      <c r="K124" s="2"/>
      <c r="L124" s="2"/>
      <c r="M124" s="2"/>
      <c r="N124" s="2"/>
    </row>
    <row r="125" spans="8:14" x14ac:dyDescent="0.3">
      <c r="H125" s="2"/>
      <c r="I125" s="2"/>
      <c r="J125" s="2"/>
      <c r="K125" s="2"/>
      <c r="L125" s="2"/>
      <c r="M125" s="2"/>
      <c r="N125" s="2"/>
    </row>
    <row r="126" spans="8:14" x14ac:dyDescent="0.3">
      <c r="H126" s="2"/>
      <c r="I126" s="2"/>
      <c r="J126" s="2"/>
      <c r="K126" s="2"/>
      <c r="L126" s="2"/>
      <c r="M126" s="2"/>
      <c r="N126" s="2"/>
    </row>
    <row r="127" spans="8:14" x14ac:dyDescent="0.3">
      <c r="H127" s="2"/>
      <c r="I127" s="2"/>
      <c r="J127" s="2"/>
      <c r="K127" s="2"/>
      <c r="L127" s="2"/>
      <c r="M127" s="2"/>
      <c r="N127" s="2"/>
    </row>
  </sheetData>
  <mergeCells count="1">
    <mergeCell ref="A1:P2"/>
  </mergeCells>
  <conditionalFormatting sqref="C6:L9">
    <cfRule type="cellIs" dxfId="34" priority="1" operator="greater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C9102-AE8A-4C04-B02A-764AA1AB828E}">
  <dimension ref="A1:T127"/>
  <sheetViews>
    <sheetView zoomScale="70" zoomScaleNormal="70" workbookViewId="0">
      <selection activeCell="U18" sqref="U18"/>
    </sheetView>
  </sheetViews>
  <sheetFormatPr defaultRowHeight="14.4" x14ac:dyDescent="0.3"/>
  <cols>
    <col min="2" max="2" width="53.5546875" customWidth="1"/>
    <col min="3" max="6" width="18.44140625" customWidth="1"/>
    <col min="7" max="7" width="17.5546875" customWidth="1"/>
    <col min="8" max="9" width="8.88671875" hidden="1" customWidth="1"/>
    <col min="10" max="10" width="2.109375" hidden="1" customWidth="1"/>
    <col min="11" max="13" width="8.88671875" hidden="1" customWidth="1"/>
    <col min="14" max="14" width="1.88671875" hidden="1" customWidth="1"/>
    <col min="15" max="16" width="8.88671875" hidden="1" customWidth="1"/>
    <col min="17" max="17" width="8.88671875" style="1"/>
    <col min="18" max="18" width="11.6640625" style="16" customWidth="1"/>
    <col min="19" max="20" width="8.88671875" style="16"/>
  </cols>
  <sheetData>
    <row r="1" spans="1:19" x14ac:dyDescent="0.3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9" ht="30.6" customHeight="1" x14ac:dyDescent="0.3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</row>
    <row r="3" spans="1:19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4"/>
    </row>
    <row r="4" spans="1:19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3"/>
      <c r="P4" s="4"/>
    </row>
    <row r="5" spans="1:19" ht="15.6" x14ac:dyDescent="0.3">
      <c r="A5" s="2"/>
      <c r="B5" s="2"/>
      <c r="C5" s="6" t="s">
        <v>14</v>
      </c>
      <c r="D5" s="6" t="s">
        <v>15</v>
      </c>
      <c r="E5" s="6" t="s">
        <v>16</v>
      </c>
      <c r="F5" s="6" t="s">
        <v>34</v>
      </c>
      <c r="G5" s="15"/>
      <c r="H5" s="15"/>
      <c r="I5" s="15"/>
      <c r="J5" s="15"/>
      <c r="K5" s="7"/>
      <c r="L5" s="7"/>
      <c r="M5" s="2"/>
      <c r="N5" s="3"/>
      <c r="O5" s="4"/>
      <c r="P5" s="1"/>
    </row>
    <row r="6" spans="1:19" ht="15.6" x14ac:dyDescent="0.3">
      <c r="A6" s="2"/>
      <c r="B6" s="8" t="s">
        <v>1</v>
      </c>
      <c r="C6" s="9">
        <v>501</v>
      </c>
      <c r="D6" s="9">
        <v>501</v>
      </c>
      <c r="E6" s="9">
        <v>501</v>
      </c>
      <c r="F6" s="9">
        <v>496</v>
      </c>
      <c r="G6" s="10"/>
      <c r="H6" s="10"/>
      <c r="I6" s="10"/>
      <c r="J6" s="10"/>
      <c r="K6" s="10"/>
      <c r="L6" s="10"/>
      <c r="M6" s="2"/>
      <c r="N6" s="3"/>
      <c r="O6" s="4"/>
      <c r="P6" s="1"/>
    </row>
    <row r="7" spans="1:19" ht="15.6" x14ac:dyDescent="0.3">
      <c r="A7" s="2"/>
      <c r="B7" s="8" t="s">
        <v>2</v>
      </c>
      <c r="C7" s="9">
        <v>301</v>
      </c>
      <c r="D7" s="9">
        <v>292</v>
      </c>
      <c r="E7" s="9">
        <v>287</v>
      </c>
      <c r="F7" s="9">
        <v>200</v>
      </c>
      <c r="G7" s="10"/>
      <c r="H7" s="10"/>
      <c r="I7" s="10"/>
      <c r="J7" s="10"/>
      <c r="K7" s="10"/>
      <c r="L7" s="10"/>
      <c r="M7" s="2"/>
      <c r="N7" s="3"/>
      <c r="O7" s="4"/>
      <c r="P7" s="1"/>
    </row>
    <row r="8" spans="1:19" ht="15.6" x14ac:dyDescent="0.3">
      <c r="A8" s="2"/>
      <c r="B8" s="8" t="s">
        <v>3</v>
      </c>
      <c r="C8" s="9">
        <v>0</v>
      </c>
      <c r="D8" s="9">
        <v>0</v>
      </c>
      <c r="E8" s="9">
        <v>0</v>
      </c>
      <c r="F8" s="9">
        <v>0</v>
      </c>
      <c r="G8" s="10"/>
      <c r="H8" s="10"/>
      <c r="I8" s="10"/>
      <c r="J8" s="10"/>
      <c r="K8" s="10"/>
      <c r="L8" s="10"/>
      <c r="M8" s="2"/>
      <c r="N8" s="3"/>
      <c r="O8" s="4"/>
      <c r="P8" s="1"/>
    </row>
    <row r="9" spans="1:19" ht="15.6" x14ac:dyDescent="0.3">
      <c r="A9" s="2"/>
      <c r="B9" s="11" t="s">
        <v>4</v>
      </c>
      <c r="C9" s="9">
        <v>3</v>
      </c>
      <c r="D9" s="9">
        <v>3</v>
      </c>
      <c r="E9" s="9">
        <v>3</v>
      </c>
      <c r="F9" s="9">
        <v>3</v>
      </c>
      <c r="G9" s="10"/>
      <c r="H9" s="10"/>
      <c r="I9" s="10"/>
      <c r="J9" s="10"/>
      <c r="K9" s="10"/>
      <c r="L9" s="10"/>
      <c r="M9" s="2"/>
      <c r="N9" s="3"/>
      <c r="O9" s="4"/>
      <c r="P9" s="1"/>
    </row>
    <row r="10" spans="1:19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3"/>
      <c r="P10" s="4"/>
    </row>
    <row r="11" spans="1:19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3"/>
      <c r="P11" s="4"/>
    </row>
    <row r="12" spans="1:19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3"/>
      <c r="P12" s="4"/>
      <c r="R12" s="16" t="s">
        <v>35</v>
      </c>
      <c r="S12" s="16">
        <v>5</v>
      </c>
    </row>
    <row r="13" spans="1:19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3"/>
      <c r="P13" s="4"/>
      <c r="R13" s="16" t="s">
        <v>36</v>
      </c>
      <c r="S13" s="16">
        <v>7</v>
      </c>
    </row>
    <row r="14" spans="1:19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3"/>
      <c r="P14" s="4"/>
      <c r="R14" s="16" t="s">
        <v>37</v>
      </c>
      <c r="S14" s="16">
        <v>22</v>
      </c>
    </row>
    <row r="15" spans="1:19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3"/>
      <c r="P15" s="4"/>
      <c r="R15" s="16" t="s">
        <v>38</v>
      </c>
      <c r="S15" s="16">
        <v>18</v>
      </c>
    </row>
    <row r="16" spans="1:19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3"/>
      <c r="P16" s="4"/>
      <c r="R16" s="16" t="s">
        <v>39</v>
      </c>
      <c r="S16" s="16">
        <v>25</v>
      </c>
    </row>
    <row r="17" spans="1:19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3"/>
      <c r="P17" s="4"/>
      <c r="R17" s="16" t="s">
        <v>40</v>
      </c>
      <c r="S17" s="16">
        <v>10</v>
      </c>
    </row>
    <row r="18" spans="1:19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3"/>
      <c r="P18" s="4"/>
    </row>
    <row r="19" spans="1:19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3"/>
      <c r="P19" s="4"/>
    </row>
    <row r="20" spans="1:19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3"/>
      <c r="P20" s="4"/>
    </row>
    <row r="21" spans="1:19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3"/>
      <c r="P21" s="4"/>
    </row>
    <row r="22" spans="1:19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3"/>
      <c r="P22" s="4"/>
      <c r="S22" s="16">
        <f>SUM(S12:S21)</f>
        <v>87</v>
      </c>
    </row>
    <row r="23" spans="1:19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3"/>
      <c r="P23" s="4"/>
    </row>
    <row r="24" spans="1:19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3"/>
      <c r="P24" s="4"/>
    </row>
    <row r="25" spans="1:19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3"/>
      <c r="P25" s="4"/>
    </row>
    <row r="26" spans="1:19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3"/>
      <c r="P26" s="4"/>
    </row>
    <row r="27" spans="1:19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3"/>
      <c r="P27" s="4"/>
    </row>
    <row r="28" spans="1:19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3"/>
      <c r="P28" s="4"/>
    </row>
    <row r="29" spans="1:19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3"/>
      <c r="P29" s="4"/>
    </row>
    <row r="30" spans="1:19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3"/>
      <c r="P30" s="4"/>
    </row>
    <row r="31" spans="1:19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3"/>
      <c r="P31" s="4"/>
    </row>
    <row r="32" spans="1:19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3"/>
      <c r="P32" s="4"/>
    </row>
    <row r="33" spans="1:20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3"/>
      <c r="P33" s="4"/>
    </row>
    <row r="34" spans="1:20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3"/>
      <c r="P34" s="4"/>
    </row>
    <row r="35" spans="1:20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3"/>
      <c r="P35" s="4"/>
    </row>
    <row r="36" spans="1:20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3"/>
      <c r="P36" s="4"/>
    </row>
    <row r="37" spans="1:20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3"/>
      <c r="P37" s="4"/>
    </row>
    <row r="38" spans="1:20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/>
      <c r="P38" s="4"/>
    </row>
    <row r="39" spans="1:20" s="1" customForma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3"/>
      <c r="P39" s="4"/>
      <c r="R39" s="16"/>
      <c r="S39" s="16"/>
      <c r="T39" s="16"/>
    </row>
    <row r="40" spans="1:20" s="1" customForma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3"/>
      <c r="P40" s="4"/>
      <c r="R40" s="16"/>
      <c r="S40" s="16"/>
      <c r="T40" s="16"/>
    </row>
    <row r="41" spans="1:20" s="1" customForma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3"/>
      <c r="P41" s="4"/>
      <c r="R41" s="16"/>
      <c r="S41" s="16"/>
      <c r="T41" s="16"/>
    </row>
    <row r="42" spans="1:20" s="1" customForma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3"/>
      <c r="P42" s="4"/>
      <c r="R42" s="16"/>
      <c r="S42" s="16"/>
      <c r="T42" s="16"/>
    </row>
    <row r="43" spans="1:20" s="1" customForma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3"/>
      <c r="P43" s="4"/>
      <c r="R43" s="16"/>
      <c r="S43" s="16"/>
      <c r="T43" s="16"/>
    </row>
    <row r="44" spans="1:20" s="1" customForma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3"/>
      <c r="P44" s="4"/>
      <c r="R44" s="16"/>
      <c r="S44" s="16"/>
      <c r="T44" s="16"/>
    </row>
    <row r="45" spans="1:20" s="1" customForma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3"/>
      <c r="P45" s="4"/>
      <c r="R45" s="16"/>
      <c r="S45" s="16"/>
      <c r="T45" s="16"/>
    </row>
    <row r="46" spans="1:20" s="1" customForma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3"/>
      <c r="P46" s="4"/>
      <c r="R46" s="16"/>
      <c r="S46" s="16"/>
      <c r="T46" s="16"/>
    </row>
    <row r="47" spans="1:20" s="1" customForma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3"/>
      <c r="P47" s="4"/>
      <c r="R47" s="16"/>
      <c r="S47" s="16"/>
      <c r="T47" s="16"/>
    </row>
    <row r="48" spans="1:20" s="1" customForma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3"/>
      <c r="P48" s="4"/>
      <c r="R48" s="16"/>
      <c r="S48" s="16"/>
      <c r="T48" s="16"/>
    </row>
    <row r="49" spans="1:20" s="1" customForma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3"/>
      <c r="P49" s="4"/>
      <c r="R49" s="16"/>
      <c r="S49" s="16"/>
      <c r="T49" s="16"/>
    </row>
    <row r="50" spans="1:20" s="1" customForma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3"/>
      <c r="P50" s="4"/>
      <c r="R50" s="16"/>
      <c r="S50" s="16"/>
      <c r="T50" s="16"/>
    </row>
    <row r="51" spans="1:20" s="1" customForma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3"/>
      <c r="P51" s="4"/>
      <c r="R51" s="16"/>
      <c r="S51" s="16"/>
      <c r="T51" s="16"/>
    </row>
    <row r="52" spans="1:20" s="1" customForma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3"/>
      <c r="P52" s="4"/>
      <c r="R52" s="16"/>
      <c r="S52" s="16"/>
      <c r="T52" s="16"/>
    </row>
    <row r="53" spans="1:20" s="1" customForma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3"/>
      <c r="P53" s="4"/>
      <c r="R53" s="16"/>
      <c r="S53" s="16"/>
      <c r="T53" s="16"/>
    </row>
    <row r="54" spans="1:20" s="1" customForma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3"/>
      <c r="P54" s="4"/>
      <c r="R54" s="16"/>
      <c r="S54" s="16"/>
      <c r="T54" s="16"/>
    </row>
    <row r="55" spans="1:20" s="1" customForma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3"/>
      <c r="P55" s="4"/>
      <c r="R55" s="16"/>
      <c r="S55" s="16"/>
      <c r="T55" s="16"/>
    </row>
    <row r="56" spans="1:20" s="1" customForma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"/>
      <c r="P56" s="4"/>
      <c r="R56" s="16"/>
      <c r="S56" s="16"/>
      <c r="T56" s="16"/>
    </row>
    <row r="57" spans="1:20" s="1" customForma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3"/>
      <c r="P57" s="4"/>
      <c r="R57" s="16"/>
      <c r="S57" s="16"/>
      <c r="T57" s="16"/>
    </row>
    <row r="58" spans="1:20" s="1" customForma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"/>
      <c r="P58" s="4"/>
      <c r="R58" s="16"/>
      <c r="S58" s="16"/>
      <c r="T58" s="16"/>
    </row>
    <row r="59" spans="1:20" s="1" customForma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4"/>
      <c r="R59" s="16"/>
      <c r="S59" s="16"/>
      <c r="T59" s="16"/>
    </row>
    <row r="60" spans="1:20" s="1" customForma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3"/>
      <c r="P60" s="4"/>
      <c r="R60" s="16"/>
      <c r="S60" s="16"/>
      <c r="T60" s="16"/>
    </row>
    <row r="61" spans="1:20" s="1" customForma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3"/>
      <c r="P61" s="4"/>
      <c r="R61" s="16"/>
      <c r="S61" s="16"/>
      <c r="T61" s="16"/>
    </row>
    <row r="62" spans="1:20" s="1" customForma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3"/>
      <c r="P62" s="4"/>
      <c r="R62" s="16"/>
      <c r="S62" s="16"/>
      <c r="T62" s="16"/>
    </row>
    <row r="63" spans="1:20" s="1" customForma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3"/>
      <c r="P63" s="4"/>
      <c r="R63" s="16"/>
      <c r="S63" s="16"/>
      <c r="T63" s="16"/>
    </row>
    <row r="64" spans="1:20" s="1" customForma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3"/>
      <c r="P64" s="4"/>
      <c r="R64" s="16"/>
      <c r="S64" s="16"/>
      <c r="T64" s="16"/>
    </row>
    <row r="65" spans="1:20" s="1" customForma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3"/>
      <c r="P65" s="4"/>
      <c r="R65" s="16"/>
      <c r="S65" s="16"/>
      <c r="T65" s="16"/>
    </row>
    <row r="66" spans="1:20" s="1" customForma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3"/>
      <c r="P66" s="4"/>
      <c r="R66" s="16"/>
      <c r="S66" s="16"/>
      <c r="T66" s="16"/>
    </row>
    <row r="67" spans="1:20" s="1" customForma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3"/>
      <c r="P67" s="4"/>
      <c r="R67" s="16"/>
      <c r="S67" s="16"/>
      <c r="T67" s="16"/>
    </row>
    <row r="68" spans="1:20" s="1" customForma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3"/>
      <c r="P68" s="4"/>
      <c r="R68" s="16"/>
      <c r="S68" s="16"/>
      <c r="T68" s="16"/>
    </row>
    <row r="69" spans="1:20" s="1" customForma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3"/>
      <c r="P69" s="4"/>
      <c r="R69" s="16"/>
      <c r="S69" s="16"/>
      <c r="T69" s="16"/>
    </row>
    <row r="70" spans="1:20" s="1" customForma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3"/>
      <c r="P70" s="4"/>
      <c r="R70" s="16"/>
      <c r="S70" s="16"/>
      <c r="T70" s="16"/>
    </row>
    <row r="71" spans="1:20" s="1" customForma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/>
      <c r="P71" s="4"/>
      <c r="R71" s="16"/>
      <c r="S71" s="16"/>
      <c r="T71" s="16"/>
    </row>
    <row r="72" spans="1:20" s="1" customForma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3"/>
      <c r="P72" s="4"/>
      <c r="R72" s="16"/>
      <c r="S72" s="16"/>
      <c r="T72" s="16"/>
    </row>
    <row r="73" spans="1:20" s="1" customForma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3"/>
      <c r="P73" s="4"/>
      <c r="R73" s="16"/>
      <c r="S73" s="16"/>
      <c r="T73" s="16"/>
    </row>
    <row r="74" spans="1:20" s="1" customForma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3"/>
      <c r="P74" s="4"/>
      <c r="R74" s="16"/>
      <c r="S74" s="16"/>
      <c r="T74" s="16"/>
    </row>
    <row r="75" spans="1:20" s="1" customForma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3"/>
      <c r="P75" s="4"/>
      <c r="R75" s="16"/>
      <c r="S75" s="16"/>
      <c r="T75" s="16"/>
    </row>
    <row r="76" spans="1:20" s="1" customForma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3"/>
      <c r="P76" s="4"/>
      <c r="R76" s="16"/>
      <c r="S76" s="16"/>
      <c r="T76" s="16"/>
    </row>
    <row r="77" spans="1:20" s="1" customForma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3"/>
      <c r="P77" s="4"/>
      <c r="R77" s="16"/>
      <c r="S77" s="16"/>
      <c r="T77" s="16"/>
    </row>
    <row r="78" spans="1:20" s="1" customForma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3"/>
      <c r="P78" s="4"/>
      <c r="R78" s="16"/>
      <c r="S78" s="16"/>
      <c r="T78" s="16"/>
    </row>
    <row r="79" spans="1:20" s="1" customForma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3"/>
      <c r="P79" s="4"/>
      <c r="R79" s="16"/>
      <c r="S79" s="16"/>
      <c r="T79" s="16"/>
    </row>
    <row r="80" spans="1:20" s="1" customForma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3"/>
      <c r="P80" s="4"/>
      <c r="R80" s="16"/>
      <c r="S80" s="16"/>
      <c r="T80" s="16"/>
    </row>
    <row r="81" spans="1:20" s="1" customForma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3"/>
      <c r="P81" s="4"/>
      <c r="R81" s="16"/>
      <c r="S81" s="16"/>
      <c r="T81" s="16"/>
    </row>
    <row r="82" spans="1:20" s="1" customForma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3"/>
      <c r="P82" s="4"/>
      <c r="R82" s="16"/>
      <c r="S82" s="16"/>
      <c r="T82" s="16"/>
    </row>
    <row r="83" spans="1:20" s="1" customForma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3"/>
      <c r="P83" s="4"/>
      <c r="R83" s="16"/>
      <c r="S83" s="16"/>
      <c r="T83" s="16"/>
    </row>
    <row r="84" spans="1:20" s="1" customForma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3"/>
      <c r="P84" s="4"/>
      <c r="R84" s="16"/>
      <c r="S84" s="16"/>
      <c r="T84" s="16"/>
    </row>
    <row r="85" spans="1:20" s="1" customForma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3"/>
      <c r="P85" s="4"/>
      <c r="R85" s="16"/>
      <c r="S85" s="16"/>
      <c r="T85" s="16"/>
    </row>
    <row r="86" spans="1:20" s="1" customForma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3"/>
      <c r="P86" s="4"/>
      <c r="R86" s="16"/>
      <c r="S86" s="16"/>
      <c r="T86" s="16"/>
    </row>
    <row r="87" spans="1:20" s="1" customForma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3"/>
      <c r="P87" s="4"/>
      <c r="R87" s="16"/>
      <c r="S87" s="16"/>
      <c r="T87" s="16"/>
    </row>
    <row r="88" spans="1:20" s="1" customForma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3"/>
      <c r="P88" s="4"/>
      <c r="R88" s="16"/>
      <c r="S88" s="16"/>
      <c r="T88" s="16"/>
    </row>
    <row r="89" spans="1:20" s="1" customForma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3"/>
      <c r="P89" s="4"/>
      <c r="R89" s="16"/>
      <c r="S89" s="16"/>
      <c r="T89" s="16"/>
    </row>
    <row r="90" spans="1:20" s="1" customForma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3"/>
      <c r="P90" s="4"/>
      <c r="R90" s="16"/>
      <c r="S90" s="16"/>
      <c r="T90" s="16"/>
    </row>
    <row r="91" spans="1:20" s="1" customForma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3"/>
      <c r="P91" s="4"/>
      <c r="R91" s="16"/>
      <c r="S91" s="16"/>
      <c r="T91" s="16"/>
    </row>
    <row r="92" spans="1:20" s="1" customForma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3"/>
      <c r="P92" s="4"/>
      <c r="R92" s="16"/>
      <c r="S92" s="16"/>
      <c r="T92" s="16"/>
    </row>
    <row r="93" spans="1:20" s="1" customForma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3"/>
      <c r="P93" s="4"/>
      <c r="R93" s="16"/>
      <c r="S93" s="16"/>
      <c r="T93" s="16"/>
    </row>
    <row r="94" spans="1:20" s="1" customForma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3"/>
      <c r="P94" s="4"/>
      <c r="R94" s="16"/>
      <c r="S94" s="16"/>
      <c r="T94" s="16"/>
    </row>
    <row r="95" spans="1:20" s="1" customForma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3"/>
      <c r="P95" s="4"/>
      <c r="R95" s="16"/>
      <c r="S95" s="16"/>
      <c r="T95" s="16"/>
    </row>
    <row r="96" spans="1:20" s="1" customForma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3"/>
      <c r="P96" s="4"/>
      <c r="R96" s="16"/>
      <c r="S96" s="16"/>
      <c r="T96" s="16"/>
    </row>
    <row r="97" spans="1:20" s="1" customForma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3"/>
      <c r="P97" s="4"/>
      <c r="R97" s="16"/>
      <c r="S97" s="16"/>
      <c r="T97" s="16"/>
    </row>
    <row r="98" spans="1:20" s="1" customForma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3"/>
      <c r="P98" s="4"/>
      <c r="R98" s="16"/>
      <c r="S98" s="16"/>
      <c r="T98" s="16"/>
    </row>
    <row r="99" spans="1:20" s="1" customForma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3"/>
      <c r="P99" s="4"/>
      <c r="R99" s="16"/>
      <c r="S99" s="16"/>
      <c r="T99" s="16"/>
    </row>
    <row r="100" spans="1:20" s="1" customForma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3"/>
      <c r="P100" s="4"/>
      <c r="R100" s="16"/>
      <c r="S100" s="16"/>
      <c r="T100" s="16"/>
    </row>
    <row r="101" spans="1:20" s="1" customForma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3"/>
      <c r="P101" s="4"/>
      <c r="R101" s="16"/>
      <c r="S101" s="16"/>
      <c r="T101" s="16"/>
    </row>
    <row r="102" spans="1:20" s="1" customForma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3"/>
      <c r="P102" s="4"/>
      <c r="R102" s="16"/>
      <c r="S102" s="16"/>
      <c r="T102" s="16"/>
    </row>
    <row r="103" spans="1:20" s="1" customForma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3"/>
      <c r="P103" s="4"/>
      <c r="R103" s="16"/>
      <c r="S103" s="16"/>
      <c r="T103" s="16"/>
    </row>
    <row r="104" spans="1:20" s="1" customFormat="1" x14ac:dyDescent="0.3">
      <c r="A104"/>
      <c r="B104"/>
      <c r="C104"/>
      <c r="D104"/>
      <c r="E104"/>
      <c r="F104"/>
      <c r="G104"/>
      <c r="H104" s="2"/>
      <c r="I104" s="2"/>
      <c r="J104" s="2"/>
      <c r="K104" s="2"/>
      <c r="L104" s="2"/>
      <c r="M104" s="2"/>
      <c r="N104" s="2"/>
      <c r="O104" s="3"/>
      <c r="P104" s="4"/>
      <c r="R104" s="16"/>
      <c r="S104" s="16"/>
      <c r="T104" s="16"/>
    </row>
    <row r="105" spans="1:20" s="1" customFormat="1" x14ac:dyDescent="0.3">
      <c r="A105"/>
      <c r="B105"/>
      <c r="C105"/>
      <c r="D105"/>
      <c r="E105"/>
      <c r="F105"/>
      <c r="G105"/>
      <c r="H105" s="2"/>
      <c r="I105" s="2"/>
      <c r="J105" s="2"/>
      <c r="K105" s="2"/>
      <c r="L105" s="2"/>
      <c r="M105" s="2"/>
      <c r="N105" s="2"/>
      <c r="O105" s="3"/>
      <c r="P105" s="4"/>
      <c r="R105" s="16"/>
      <c r="S105" s="16"/>
      <c r="T105" s="16"/>
    </row>
    <row r="106" spans="1:20" s="1" customFormat="1" x14ac:dyDescent="0.3">
      <c r="A106"/>
      <c r="B106"/>
      <c r="C106"/>
      <c r="D106"/>
      <c r="E106"/>
      <c r="F106"/>
      <c r="G106"/>
      <c r="H106" s="2"/>
      <c r="I106" s="2"/>
      <c r="J106" s="2"/>
      <c r="K106" s="2"/>
      <c r="L106" s="2"/>
      <c r="M106" s="2"/>
      <c r="N106" s="2"/>
      <c r="O106" s="3"/>
      <c r="P106" s="4"/>
      <c r="R106" s="16"/>
      <c r="S106" s="16"/>
      <c r="T106" s="16"/>
    </row>
    <row r="107" spans="1:20" s="1" customFormat="1" x14ac:dyDescent="0.3">
      <c r="A107"/>
      <c r="B107"/>
      <c r="C107"/>
      <c r="D107"/>
      <c r="E107"/>
      <c r="F107"/>
      <c r="G107"/>
      <c r="H107" s="2"/>
      <c r="I107" s="2"/>
      <c r="J107" s="2"/>
      <c r="K107" s="2"/>
      <c r="L107" s="2"/>
      <c r="M107" s="2"/>
      <c r="N107" s="2"/>
      <c r="O107" s="3"/>
      <c r="P107" s="4"/>
      <c r="R107" s="16"/>
      <c r="S107" s="16"/>
      <c r="T107" s="16"/>
    </row>
    <row r="108" spans="1:20" s="1" customFormat="1" x14ac:dyDescent="0.3">
      <c r="A108"/>
      <c r="B108"/>
      <c r="C108"/>
      <c r="D108"/>
      <c r="E108"/>
      <c r="F108"/>
      <c r="G108"/>
      <c r="H108" s="2"/>
      <c r="I108" s="2"/>
      <c r="J108" s="2"/>
      <c r="K108" s="2"/>
      <c r="L108" s="2"/>
      <c r="M108" s="2"/>
      <c r="N108" s="2"/>
      <c r="O108" s="3"/>
      <c r="P108" s="4"/>
      <c r="R108" s="16"/>
      <c r="S108" s="16"/>
      <c r="T108" s="16"/>
    </row>
    <row r="109" spans="1:20" s="1" customFormat="1" x14ac:dyDescent="0.3">
      <c r="A109"/>
      <c r="B109"/>
      <c r="C109"/>
      <c r="D109"/>
      <c r="E109"/>
      <c r="F109"/>
      <c r="G109"/>
      <c r="H109" s="2"/>
      <c r="I109" s="2"/>
      <c r="J109" s="2"/>
      <c r="K109" s="2"/>
      <c r="L109" s="2"/>
      <c r="M109" s="2"/>
      <c r="N109" s="2"/>
      <c r="O109" s="3"/>
      <c r="P109" s="4"/>
      <c r="R109" s="16"/>
      <c r="S109" s="16"/>
      <c r="T109" s="16"/>
    </row>
    <row r="110" spans="1:20" s="1" customFormat="1" x14ac:dyDescent="0.3">
      <c r="A110"/>
      <c r="B110"/>
      <c r="C110"/>
      <c r="D110"/>
      <c r="E110"/>
      <c r="F110"/>
      <c r="G110"/>
      <c r="H110" s="2"/>
      <c r="I110" s="2"/>
      <c r="J110" s="2"/>
      <c r="K110" s="2"/>
      <c r="L110" s="2"/>
      <c r="M110" s="2"/>
      <c r="N110" s="2"/>
      <c r="O110" s="13"/>
      <c r="P110" s="14"/>
      <c r="R110" s="16"/>
      <c r="S110" s="16"/>
      <c r="T110" s="16"/>
    </row>
    <row r="111" spans="1:20" x14ac:dyDescent="0.3">
      <c r="H111" s="2"/>
      <c r="I111" s="2"/>
      <c r="J111" s="2"/>
      <c r="K111" s="2"/>
      <c r="L111" s="2"/>
      <c r="M111" s="2"/>
      <c r="N111" s="2"/>
    </row>
    <row r="112" spans="1:20" x14ac:dyDescent="0.3">
      <c r="H112" s="2"/>
      <c r="I112" s="2"/>
      <c r="J112" s="2"/>
      <c r="K112" s="2"/>
      <c r="L112" s="2"/>
      <c r="M112" s="2"/>
      <c r="N112" s="2"/>
    </row>
    <row r="113" spans="8:14" x14ac:dyDescent="0.3">
      <c r="H113" s="2"/>
      <c r="I113" s="2"/>
      <c r="J113" s="2"/>
      <c r="K113" s="2"/>
      <c r="L113" s="2"/>
      <c r="M113" s="2"/>
      <c r="N113" s="2"/>
    </row>
    <row r="114" spans="8:14" x14ac:dyDescent="0.3">
      <c r="H114" s="2"/>
      <c r="I114" s="2"/>
      <c r="J114" s="2"/>
      <c r="K114" s="2"/>
      <c r="L114" s="2"/>
      <c r="M114" s="2"/>
      <c r="N114" s="2"/>
    </row>
    <row r="115" spans="8:14" x14ac:dyDescent="0.3">
      <c r="H115" s="2"/>
      <c r="I115" s="2"/>
      <c r="J115" s="2"/>
      <c r="K115" s="2"/>
      <c r="L115" s="2"/>
      <c r="M115" s="2"/>
      <c r="N115" s="2"/>
    </row>
    <row r="116" spans="8:14" x14ac:dyDescent="0.3">
      <c r="H116" s="2"/>
      <c r="I116" s="2"/>
      <c r="J116" s="2"/>
      <c r="K116" s="2"/>
      <c r="L116" s="2"/>
      <c r="M116" s="2"/>
      <c r="N116" s="2"/>
    </row>
    <row r="117" spans="8:14" x14ac:dyDescent="0.3">
      <c r="H117" s="2"/>
      <c r="I117" s="2"/>
      <c r="J117" s="2"/>
      <c r="K117" s="2"/>
      <c r="L117" s="2"/>
      <c r="M117" s="2"/>
      <c r="N117" s="2"/>
    </row>
    <row r="118" spans="8:14" x14ac:dyDescent="0.3">
      <c r="H118" s="2"/>
      <c r="I118" s="2"/>
      <c r="J118" s="2"/>
      <c r="K118" s="2"/>
      <c r="L118" s="2"/>
      <c r="M118" s="2"/>
      <c r="N118" s="2"/>
    </row>
    <row r="119" spans="8:14" x14ac:dyDescent="0.3">
      <c r="H119" s="2"/>
      <c r="I119" s="2"/>
      <c r="J119" s="2"/>
      <c r="K119" s="2"/>
      <c r="L119" s="2"/>
      <c r="M119" s="2"/>
      <c r="N119" s="2"/>
    </row>
    <row r="120" spans="8:14" x14ac:dyDescent="0.3">
      <c r="H120" s="2"/>
      <c r="I120" s="2"/>
      <c r="J120" s="2"/>
      <c r="K120" s="2"/>
      <c r="L120" s="2"/>
      <c r="M120" s="2"/>
      <c r="N120" s="2"/>
    </row>
    <row r="121" spans="8:14" x14ac:dyDescent="0.3">
      <c r="H121" s="2"/>
      <c r="I121" s="2"/>
      <c r="J121" s="2"/>
      <c r="K121" s="2"/>
      <c r="L121" s="2"/>
      <c r="M121" s="2"/>
      <c r="N121" s="2"/>
    </row>
    <row r="122" spans="8:14" x14ac:dyDescent="0.3">
      <c r="H122" s="2"/>
      <c r="I122" s="2"/>
      <c r="J122" s="2"/>
      <c r="K122" s="2"/>
      <c r="L122" s="2"/>
      <c r="M122" s="2"/>
      <c r="N122" s="2"/>
    </row>
    <row r="123" spans="8:14" x14ac:dyDescent="0.3">
      <c r="H123" s="2"/>
      <c r="I123" s="2"/>
      <c r="J123" s="2"/>
      <c r="K123" s="2"/>
      <c r="L123" s="2"/>
      <c r="M123" s="2"/>
      <c r="N123" s="2"/>
    </row>
    <row r="124" spans="8:14" x14ac:dyDescent="0.3">
      <c r="H124" s="2"/>
      <c r="I124" s="2"/>
      <c r="J124" s="2"/>
      <c r="K124" s="2"/>
      <c r="L124" s="2"/>
      <c r="M124" s="2"/>
      <c r="N124" s="2"/>
    </row>
    <row r="125" spans="8:14" x14ac:dyDescent="0.3">
      <c r="H125" s="2"/>
      <c r="I125" s="2"/>
      <c r="J125" s="2"/>
      <c r="K125" s="2"/>
      <c r="L125" s="2"/>
      <c r="M125" s="2"/>
      <c r="N125" s="2"/>
    </row>
    <row r="126" spans="8:14" x14ac:dyDescent="0.3">
      <c r="H126" s="2"/>
      <c r="I126" s="2"/>
      <c r="J126" s="2"/>
      <c r="K126" s="2"/>
      <c r="L126" s="2"/>
      <c r="M126" s="2"/>
      <c r="N126" s="2"/>
    </row>
    <row r="127" spans="8:14" x14ac:dyDescent="0.3">
      <c r="H127" s="2"/>
      <c r="I127" s="2"/>
      <c r="J127" s="2"/>
      <c r="K127" s="2"/>
      <c r="L127" s="2"/>
      <c r="M127" s="2"/>
      <c r="N127" s="2"/>
    </row>
  </sheetData>
  <mergeCells count="1">
    <mergeCell ref="A1:P2"/>
  </mergeCells>
  <conditionalFormatting sqref="C6:L9">
    <cfRule type="cellIs" dxfId="33" priority="1" operator="greater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FE9E1-9745-4769-A0F4-79801DCEB943}">
  <dimension ref="A1:O125"/>
  <sheetViews>
    <sheetView zoomScale="70" zoomScaleNormal="70" workbookViewId="0">
      <selection activeCell="AG24" sqref="AG24"/>
    </sheetView>
  </sheetViews>
  <sheetFormatPr defaultRowHeight="14.4" x14ac:dyDescent="0.3"/>
  <cols>
    <col min="2" max="2" width="53.5546875" customWidth="1"/>
    <col min="3" max="3" width="18.44140625" customWidth="1"/>
    <col min="4" max="4" width="17.5546875" customWidth="1"/>
    <col min="5" max="6" width="8.88671875" hidden="1" customWidth="1"/>
    <col min="7" max="7" width="2.109375" hidden="1" customWidth="1"/>
    <col min="8" max="10" width="8.88671875" hidden="1" customWidth="1"/>
    <col min="11" max="11" width="1.88671875" hidden="1" customWidth="1"/>
    <col min="12" max="13" width="8.88671875" hidden="1" customWidth="1"/>
    <col min="14" max="15" width="8.88671875" style="1"/>
  </cols>
  <sheetData>
    <row r="1" spans="1:13" x14ac:dyDescent="0.3">
      <c r="A1" s="33" t="s">
        <v>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1:13" ht="30.6" customHeight="1" x14ac:dyDescent="0.3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1:13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4"/>
    </row>
    <row r="4" spans="1:13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4"/>
    </row>
    <row r="5" spans="1:13" ht="15.6" x14ac:dyDescent="0.3">
      <c r="A5" s="2"/>
      <c r="B5" s="2"/>
      <c r="C5" s="6" t="s">
        <v>12</v>
      </c>
      <c r="D5" s="2"/>
      <c r="E5" s="15"/>
      <c r="F5" s="15"/>
      <c r="G5" s="15"/>
      <c r="H5" s="15"/>
      <c r="I5" s="7"/>
      <c r="J5" s="7"/>
      <c r="K5" s="2"/>
      <c r="L5" s="3"/>
      <c r="M5" s="4"/>
    </row>
    <row r="6" spans="1:13" ht="15.6" x14ac:dyDescent="0.3">
      <c r="A6" s="2"/>
      <c r="B6" s="8" t="s">
        <v>17</v>
      </c>
      <c r="C6" s="9">
        <v>14</v>
      </c>
      <c r="D6" s="2"/>
      <c r="E6" s="10"/>
      <c r="F6" s="10"/>
      <c r="G6" s="10"/>
      <c r="H6" s="10"/>
      <c r="I6" s="10"/>
      <c r="J6" s="10"/>
      <c r="K6" s="2"/>
      <c r="L6" s="3"/>
      <c r="M6" s="4"/>
    </row>
    <row r="7" spans="1:13" ht="15.6" x14ac:dyDescent="0.3">
      <c r="A7" s="2"/>
      <c r="B7" s="8" t="s">
        <v>18</v>
      </c>
      <c r="C7" s="9">
        <v>8</v>
      </c>
      <c r="D7" s="2"/>
      <c r="E7" s="10"/>
      <c r="F7" s="10"/>
      <c r="G7" s="10"/>
      <c r="H7" s="10"/>
      <c r="I7" s="10"/>
      <c r="J7" s="10"/>
      <c r="K7" s="2"/>
      <c r="L7" s="3"/>
      <c r="M7" s="4"/>
    </row>
    <row r="8" spans="1:13" s="1" customForma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3"/>
      <c r="M8" s="4"/>
    </row>
    <row r="9" spans="1:13" s="1" customForma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3"/>
      <c r="M9" s="4"/>
    </row>
    <row r="10" spans="1:13" s="1" customForma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3"/>
      <c r="M10" s="4"/>
    </row>
    <row r="11" spans="1:13" s="1" customForma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3"/>
      <c r="M11" s="4"/>
    </row>
    <row r="12" spans="1:13" s="1" customForma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3"/>
      <c r="M12" s="4"/>
    </row>
    <row r="13" spans="1:13" s="1" customForma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3"/>
      <c r="M13" s="4"/>
    </row>
    <row r="14" spans="1:13" s="1" customForma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3"/>
      <c r="M14" s="4"/>
    </row>
    <row r="15" spans="1:13" s="1" customForma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3"/>
      <c r="M15" s="4"/>
    </row>
    <row r="16" spans="1:13" s="1" customForma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3"/>
      <c r="M16" s="4"/>
    </row>
    <row r="17" spans="1:13" s="1" customForma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3"/>
      <c r="M17" s="4"/>
    </row>
    <row r="18" spans="1:13" s="1" customForma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3"/>
      <c r="M18" s="4"/>
    </row>
    <row r="19" spans="1:13" s="1" customForma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3"/>
      <c r="M19" s="4"/>
    </row>
    <row r="20" spans="1:13" s="1" customForma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3"/>
      <c r="M20" s="4"/>
    </row>
    <row r="21" spans="1:13" s="1" customForma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3"/>
      <c r="M21" s="4"/>
    </row>
    <row r="22" spans="1:13" s="1" customForma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3"/>
      <c r="M22" s="4"/>
    </row>
    <row r="23" spans="1:13" s="1" customForma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3"/>
      <c r="M23" s="4"/>
    </row>
    <row r="24" spans="1:13" s="1" customForma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3"/>
      <c r="M24" s="4"/>
    </row>
    <row r="25" spans="1:13" s="1" customForma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3"/>
      <c r="M25" s="4"/>
    </row>
    <row r="26" spans="1:13" s="1" customForma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3"/>
      <c r="M26" s="4"/>
    </row>
    <row r="27" spans="1:13" s="1" customForma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3"/>
      <c r="M27" s="4"/>
    </row>
    <row r="28" spans="1:13" s="1" customForma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3"/>
      <c r="M28" s="4"/>
    </row>
    <row r="29" spans="1:13" s="1" customForma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3"/>
      <c r="M29" s="4"/>
    </row>
    <row r="30" spans="1:13" s="1" customForma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3"/>
      <c r="M30" s="4"/>
    </row>
    <row r="31" spans="1:13" s="1" customForma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3"/>
      <c r="M31" s="4"/>
    </row>
    <row r="32" spans="1:13" s="1" customForma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3"/>
      <c r="M32" s="4"/>
    </row>
    <row r="33" spans="1:13" s="1" customFormat="1" ht="15.6" x14ac:dyDescent="0.3">
      <c r="A33" s="2"/>
      <c r="B33" s="2"/>
      <c r="C33" s="6" t="s">
        <v>12</v>
      </c>
      <c r="D33" s="2"/>
      <c r="E33" s="2"/>
      <c r="F33" s="2"/>
      <c r="G33" s="2"/>
      <c r="H33" s="2"/>
      <c r="I33" s="2"/>
      <c r="J33" s="2"/>
      <c r="K33" s="2"/>
      <c r="L33" s="3"/>
      <c r="M33" s="4"/>
    </row>
    <row r="34" spans="1:13" s="1" customFormat="1" ht="15.6" x14ac:dyDescent="0.3">
      <c r="A34" s="2"/>
      <c r="B34" s="8" t="s">
        <v>17</v>
      </c>
      <c r="C34" s="9">
        <v>0</v>
      </c>
      <c r="D34" s="2"/>
      <c r="E34" s="2"/>
      <c r="F34" s="2"/>
      <c r="G34" s="2"/>
      <c r="H34" s="2"/>
      <c r="I34" s="2"/>
      <c r="J34" s="2"/>
      <c r="K34" s="2"/>
      <c r="L34" s="3"/>
      <c r="M34" s="4"/>
    </row>
    <row r="35" spans="1:13" s="1" customFormat="1" ht="15.6" x14ac:dyDescent="0.3">
      <c r="A35" s="2"/>
      <c r="B35" s="8" t="s">
        <v>18</v>
      </c>
      <c r="C35" s="9">
        <v>1</v>
      </c>
      <c r="D35" s="2"/>
      <c r="E35" s="2"/>
      <c r="F35" s="2"/>
      <c r="G35" s="2"/>
      <c r="H35" s="2"/>
      <c r="I35" s="2"/>
      <c r="J35" s="2"/>
      <c r="K35" s="2"/>
      <c r="L35" s="3"/>
      <c r="M35" s="4"/>
    </row>
    <row r="36" spans="1:13" s="1" customForma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3"/>
      <c r="M36" s="4"/>
    </row>
    <row r="37" spans="1:13" s="1" customForma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3"/>
      <c r="M37" s="4"/>
    </row>
    <row r="38" spans="1:13" s="1" customForma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3"/>
      <c r="M38" s="4"/>
    </row>
    <row r="39" spans="1:13" s="1" customForma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3"/>
      <c r="M39" s="4"/>
    </row>
    <row r="40" spans="1:13" s="1" customForma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3"/>
      <c r="M40" s="4"/>
    </row>
    <row r="41" spans="1:13" s="1" customForma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3"/>
      <c r="M41" s="4"/>
    </row>
    <row r="42" spans="1:13" s="1" customForma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3"/>
      <c r="M42" s="4"/>
    </row>
    <row r="43" spans="1:13" s="1" customForma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3"/>
      <c r="M43" s="4"/>
    </row>
    <row r="44" spans="1:13" s="1" customForma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3"/>
      <c r="M44" s="4"/>
    </row>
    <row r="45" spans="1:13" s="1" customForma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3"/>
      <c r="M45" s="4"/>
    </row>
    <row r="46" spans="1:13" s="1" customForma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3"/>
      <c r="M46" s="4"/>
    </row>
    <row r="47" spans="1:13" s="1" customForma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3"/>
      <c r="M47" s="4"/>
    </row>
    <row r="48" spans="1:13" s="1" customForma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3"/>
      <c r="M48" s="4"/>
    </row>
    <row r="49" spans="1:13" s="1" customForma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3"/>
      <c r="M49" s="4"/>
    </row>
    <row r="50" spans="1:13" s="1" customForma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3"/>
      <c r="M50" s="4"/>
    </row>
    <row r="51" spans="1:13" s="1" customForma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3"/>
      <c r="M51" s="4"/>
    </row>
    <row r="52" spans="1:13" s="1" customForma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3"/>
      <c r="M52" s="4"/>
    </row>
    <row r="53" spans="1:13" s="1" customForma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3"/>
      <c r="M53" s="4"/>
    </row>
    <row r="54" spans="1:13" s="1" customForma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3"/>
      <c r="M54" s="4"/>
    </row>
    <row r="55" spans="1:13" s="1" customForma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3"/>
      <c r="M55" s="4"/>
    </row>
    <row r="56" spans="1:13" s="1" customForma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3"/>
      <c r="M56" s="4"/>
    </row>
    <row r="57" spans="1:13" s="1" customForma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3"/>
      <c r="M57" s="4"/>
    </row>
    <row r="58" spans="1:13" s="1" customForma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3"/>
      <c r="M58" s="4"/>
    </row>
    <row r="59" spans="1:13" s="1" customForma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3"/>
      <c r="M59" s="4"/>
    </row>
    <row r="60" spans="1:13" s="1" customForma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3"/>
      <c r="M60" s="4"/>
    </row>
    <row r="61" spans="1:13" s="1" customForma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3"/>
      <c r="M61" s="4"/>
    </row>
    <row r="62" spans="1:13" s="1" customForma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3"/>
      <c r="M62" s="4"/>
    </row>
    <row r="63" spans="1:13" s="1" customForma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3"/>
      <c r="M63" s="4"/>
    </row>
    <row r="64" spans="1:13" s="1" customForma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3"/>
      <c r="M64" s="4"/>
    </row>
    <row r="65" spans="1:13" s="1" customForma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3"/>
      <c r="M65" s="4"/>
    </row>
    <row r="66" spans="1:13" s="1" customForma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3"/>
      <c r="M66" s="4"/>
    </row>
    <row r="67" spans="1:13" s="1" customForma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3"/>
      <c r="M67" s="4"/>
    </row>
    <row r="68" spans="1:13" s="1" customForma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3"/>
      <c r="M68" s="4"/>
    </row>
    <row r="69" spans="1:13" s="1" customForma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3"/>
      <c r="M69" s="4"/>
    </row>
    <row r="70" spans="1:13" s="1" customForma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3"/>
      <c r="M70" s="4"/>
    </row>
    <row r="71" spans="1:13" s="1" customForma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3"/>
      <c r="M71" s="4"/>
    </row>
    <row r="72" spans="1:13" s="1" customForma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3"/>
      <c r="M72" s="4"/>
    </row>
    <row r="73" spans="1:13" s="1" customForma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3"/>
      <c r="M73" s="4"/>
    </row>
    <row r="74" spans="1:13" s="1" customForma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3"/>
      <c r="M74" s="4"/>
    </row>
    <row r="75" spans="1:13" s="1" customForma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3"/>
      <c r="M75" s="4"/>
    </row>
    <row r="76" spans="1:13" s="1" customForma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3"/>
      <c r="M76" s="4"/>
    </row>
    <row r="77" spans="1:13" s="1" customForma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3"/>
      <c r="M77" s="4"/>
    </row>
    <row r="78" spans="1:13" s="1" customForma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3"/>
      <c r="M78" s="4"/>
    </row>
    <row r="79" spans="1:13" s="1" customForma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3"/>
      <c r="M79" s="4"/>
    </row>
    <row r="80" spans="1:13" s="1" customForma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3"/>
      <c r="M80" s="4"/>
    </row>
    <row r="81" spans="1:13" s="1" customForma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3"/>
      <c r="M81" s="4"/>
    </row>
    <row r="82" spans="1:13" s="1" customForma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3"/>
      <c r="M82" s="4"/>
    </row>
    <row r="83" spans="1:13" s="1" customForma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3"/>
      <c r="M83" s="4"/>
    </row>
    <row r="84" spans="1:13" s="1" customForma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3"/>
      <c r="M84" s="4"/>
    </row>
    <row r="85" spans="1:13" s="1" customForma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3"/>
      <c r="M85" s="4"/>
    </row>
    <row r="86" spans="1:13" s="1" customForma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3"/>
      <c r="M86" s="4"/>
    </row>
    <row r="87" spans="1:13" s="1" customForma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3"/>
      <c r="M87" s="4"/>
    </row>
    <row r="88" spans="1:13" s="1" customForma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3"/>
      <c r="M88" s="4"/>
    </row>
    <row r="89" spans="1:13" s="1" customForma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3"/>
      <c r="M89" s="4"/>
    </row>
    <row r="90" spans="1:13" s="1" customForma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3"/>
      <c r="M90" s="4"/>
    </row>
    <row r="91" spans="1:13" s="1" customForma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3"/>
      <c r="M91" s="4"/>
    </row>
    <row r="92" spans="1:13" s="1" customForma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3"/>
      <c r="M92" s="4"/>
    </row>
    <row r="93" spans="1:13" s="1" customForma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3"/>
      <c r="M93" s="4"/>
    </row>
    <row r="94" spans="1:13" s="1" customForma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3"/>
      <c r="M94" s="4"/>
    </row>
    <row r="95" spans="1:13" s="1" customForma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3"/>
      <c r="M95" s="4"/>
    </row>
    <row r="96" spans="1:13" s="1" customForma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3"/>
      <c r="M96" s="4"/>
    </row>
    <row r="97" spans="1:13" s="1" customFormat="1" x14ac:dyDescent="0.3">
      <c r="A97" s="2"/>
      <c r="B97" s="2"/>
      <c r="C97" s="2"/>
      <c r="D97"/>
      <c r="E97" s="2"/>
      <c r="F97" s="2"/>
      <c r="G97" s="2"/>
      <c r="H97" s="2"/>
      <c r="I97" s="2"/>
      <c r="J97" s="2"/>
      <c r="K97" s="2"/>
      <c r="L97" s="3"/>
      <c r="M97" s="4"/>
    </row>
    <row r="98" spans="1:13" s="1" customFormat="1" x14ac:dyDescent="0.3">
      <c r="A98" s="2"/>
      <c r="B98" s="2"/>
      <c r="C98" s="2"/>
      <c r="D98"/>
      <c r="E98" s="2"/>
      <c r="F98" s="2"/>
      <c r="G98" s="2"/>
      <c r="H98" s="2"/>
      <c r="I98" s="2"/>
      <c r="J98" s="2"/>
      <c r="K98" s="2"/>
      <c r="L98" s="3"/>
      <c r="M98" s="4"/>
    </row>
    <row r="99" spans="1:13" s="1" customFormat="1" x14ac:dyDescent="0.3">
      <c r="A99" s="2"/>
      <c r="B99" s="2"/>
      <c r="C99" s="2"/>
      <c r="D99"/>
      <c r="E99" s="2"/>
      <c r="F99" s="2"/>
      <c r="G99" s="2"/>
      <c r="H99" s="2"/>
      <c r="I99" s="2"/>
      <c r="J99" s="2"/>
      <c r="K99" s="2"/>
      <c r="L99" s="3"/>
      <c r="M99" s="4"/>
    </row>
    <row r="100" spans="1:13" s="1" customFormat="1" x14ac:dyDescent="0.3">
      <c r="A100" s="2"/>
      <c r="B100" s="2"/>
      <c r="C100" s="2"/>
      <c r="D100"/>
      <c r="E100" s="2"/>
      <c r="F100" s="2"/>
      <c r="G100" s="2"/>
      <c r="H100" s="2"/>
      <c r="I100" s="2"/>
      <c r="J100" s="2"/>
      <c r="K100" s="2"/>
      <c r="L100" s="3"/>
      <c r="M100" s="4"/>
    </row>
    <row r="101" spans="1:13" s="1" customFormat="1" x14ac:dyDescent="0.3">
      <c r="A101" s="2"/>
      <c r="B101" s="2"/>
      <c r="C101" s="2"/>
      <c r="D101"/>
      <c r="E101" s="2"/>
      <c r="F101" s="2"/>
      <c r="G101" s="2"/>
      <c r="H101" s="2"/>
      <c r="I101" s="2"/>
      <c r="J101" s="2"/>
      <c r="K101" s="2"/>
      <c r="L101" s="3"/>
      <c r="M101" s="4"/>
    </row>
    <row r="102" spans="1:13" s="1" customFormat="1" x14ac:dyDescent="0.3">
      <c r="A102"/>
      <c r="B102"/>
      <c r="C102"/>
      <c r="D102"/>
      <c r="E102" s="2"/>
      <c r="F102" s="2"/>
      <c r="G102" s="2"/>
      <c r="H102" s="2"/>
      <c r="I102" s="2"/>
      <c r="J102" s="2"/>
      <c r="K102" s="2"/>
      <c r="L102" s="3"/>
      <c r="M102" s="4"/>
    </row>
    <row r="103" spans="1:13" s="1" customFormat="1" x14ac:dyDescent="0.3">
      <c r="A103"/>
      <c r="B103"/>
      <c r="C103"/>
      <c r="D103"/>
      <c r="E103" s="2"/>
      <c r="F103" s="2"/>
      <c r="G103" s="2"/>
      <c r="H103" s="2"/>
      <c r="I103" s="2"/>
      <c r="J103" s="2"/>
      <c r="K103" s="2"/>
      <c r="L103" s="3"/>
      <c r="M103" s="4"/>
    </row>
    <row r="104" spans="1:13" s="1" customFormat="1" x14ac:dyDescent="0.3">
      <c r="A104"/>
      <c r="B104"/>
      <c r="C104"/>
      <c r="D104"/>
      <c r="E104" s="2"/>
      <c r="F104" s="2"/>
      <c r="G104" s="2"/>
      <c r="H104" s="2"/>
      <c r="I104" s="2"/>
      <c r="J104" s="2"/>
      <c r="K104" s="2"/>
      <c r="L104" s="3"/>
      <c r="M104" s="4"/>
    </row>
    <row r="105" spans="1:13" s="1" customFormat="1" x14ac:dyDescent="0.3">
      <c r="A105"/>
      <c r="B105"/>
      <c r="C105"/>
      <c r="D105"/>
      <c r="E105" s="2"/>
      <c r="F105" s="2"/>
      <c r="G105" s="2"/>
      <c r="H105" s="2"/>
      <c r="I105" s="2"/>
      <c r="J105" s="2"/>
      <c r="K105" s="2"/>
      <c r="L105" s="3"/>
      <c r="M105" s="4"/>
    </row>
    <row r="106" spans="1:13" s="1" customFormat="1" x14ac:dyDescent="0.3">
      <c r="A106"/>
      <c r="B106"/>
      <c r="C106"/>
      <c r="D106"/>
      <c r="E106" s="2"/>
      <c r="F106" s="2"/>
      <c r="G106" s="2"/>
      <c r="H106" s="2"/>
      <c r="I106" s="2"/>
      <c r="J106" s="2"/>
      <c r="K106" s="2"/>
      <c r="L106" s="3"/>
      <c r="M106" s="4"/>
    </row>
    <row r="107" spans="1:13" s="1" customFormat="1" x14ac:dyDescent="0.3">
      <c r="A107"/>
      <c r="B107"/>
      <c r="C107"/>
      <c r="D107"/>
      <c r="E107" s="2"/>
      <c r="F107" s="2"/>
      <c r="G107" s="2"/>
      <c r="H107" s="2"/>
      <c r="I107" s="2"/>
      <c r="J107" s="2"/>
      <c r="K107" s="2"/>
      <c r="L107" s="3"/>
      <c r="M107" s="4"/>
    </row>
    <row r="108" spans="1:13" s="1" customFormat="1" x14ac:dyDescent="0.3">
      <c r="A108"/>
      <c r="B108"/>
      <c r="C108"/>
      <c r="D108"/>
      <c r="E108" s="2"/>
      <c r="F108" s="2"/>
      <c r="G108" s="2"/>
      <c r="H108" s="2"/>
      <c r="I108" s="2"/>
      <c r="J108" s="2"/>
      <c r="K108" s="2"/>
      <c r="L108" s="13"/>
      <c r="M108" s="14"/>
    </row>
    <row r="109" spans="1:13" s="1" customFormat="1" x14ac:dyDescent="0.3">
      <c r="A109"/>
      <c r="B109"/>
      <c r="C109"/>
      <c r="D109"/>
      <c r="E109" s="2"/>
      <c r="F109" s="2"/>
      <c r="G109" s="2"/>
      <c r="H109" s="2"/>
      <c r="I109" s="2"/>
      <c r="J109" s="2"/>
      <c r="K109" s="2"/>
      <c r="L109"/>
      <c r="M109"/>
    </row>
    <row r="110" spans="1:13" s="1" customFormat="1" x14ac:dyDescent="0.3">
      <c r="A110"/>
      <c r="B110"/>
      <c r="C110"/>
      <c r="D110"/>
      <c r="E110" s="2"/>
      <c r="F110" s="2"/>
      <c r="G110" s="2"/>
      <c r="H110" s="2"/>
      <c r="I110" s="2"/>
      <c r="J110" s="2"/>
      <c r="K110" s="2"/>
      <c r="L110"/>
      <c r="M110"/>
    </row>
    <row r="111" spans="1:13" x14ac:dyDescent="0.3">
      <c r="E111" s="2"/>
      <c r="F111" s="2"/>
      <c r="G111" s="2"/>
      <c r="H111" s="2"/>
      <c r="I111" s="2"/>
      <c r="J111" s="2"/>
      <c r="K111" s="2"/>
    </row>
    <row r="112" spans="1:13" x14ac:dyDescent="0.3">
      <c r="E112" s="2"/>
      <c r="F112" s="2"/>
      <c r="G112" s="2"/>
      <c r="H112" s="2"/>
      <c r="I112" s="2"/>
      <c r="J112" s="2"/>
      <c r="K112" s="2"/>
    </row>
    <row r="113" spans="5:11" x14ac:dyDescent="0.3">
      <c r="E113" s="2"/>
      <c r="F113" s="2"/>
      <c r="G113" s="2"/>
      <c r="H113" s="2"/>
      <c r="I113" s="2"/>
      <c r="J113" s="2"/>
      <c r="K113" s="2"/>
    </row>
    <row r="114" spans="5:11" x14ac:dyDescent="0.3">
      <c r="E114" s="2"/>
      <c r="F114" s="2"/>
      <c r="G114" s="2"/>
      <c r="H114" s="2"/>
      <c r="I114" s="2"/>
      <c r="J114" s="2"/>
      <c r="K114" s="2"/>
    </row>
    <row r="115" spans="5:11" x14ac:dyDescent="0.3">
      <c r="E115" s="2"/>
      <c r="F115" s="2"/>
      <c r="G115" s="2"/>
      <c r="H115" s="2"/>
      <c r="I115" s="2"/>
      <c r="J115" s="2"/>
      <c r="K115" s="2"/>
    </row>
    <row r="116" spans="5:11" x14ac:dyDescent="0.3">
      <c r="E116" s="2"/>
      <c r="F116" s="2"/>
      <c r="G116" s="2"/>
      <c r="H116" s="2"/>
      <c r="I116" s="2"/>
      <c r="J116" s="2"/>
      <c r="K116" s="2"/>
    </row>
    <row r="117" spans="5:11" x14ac:dyDescent="0.3">
      <c r="E117" s="2"/>
      <c r="F117" s="2"/>
      <c r="G117" s="2"/>
      <c r="H117" s="2"/>
      <c r="I117" s="2"/>
      <c r="J117" s="2"/>
      <c r="K117" s="2"/>
    </row>
    <row r="118" spans="5:11" x14ac:dyDescent="0.3">
      <c r="E118" s="2"/>
      <c r="F118" s="2"/>
      <c r="G118" s="2"/>
      <c r="H118" s="2"/>
      <c r="I118" s="2"/>
      <c r="J118" s="2"/>
      <c r="K118" s="2"/>
    </row>
    <row r="119" spans="5:11" x14ac:dyDescent="0.3">
      <c r="E119" s="2"/>
      <c r="F119" s="2"/>
      <c r="G119" s="2"/>
      <c r="H119" s="2"/>
      <c r="I119" s="2"/>
      <c r="J119" s="2"/>
      <c r="K119" s="2"/>
    </row>
    <row r="120" spans="5:11" x14ac:dyDescent="0.3">
      <c r="E120" s="2"/>
      <c r="F120" s="2"/>
      <c r="G120" s="2"/>
      <c r="H120" s="2"/>
      <c r="I120" s="2"/>
      <c r="J120" s="2"/>
      <c r="K120" s="2"/>
    </row>
    <row r="121" spans="5:11" x14ac:dyDescent="0.3">
      <c r="E121" s="2"/>
      <c r="F121" s="2"/>
      <c r="G121" s="2"/>
      <c r="H121" s="2"/>
      <c r="I121" s="2"/>
      <c r="J121" s="2"/>
      <c r="K121" s="2"/>
    </row>
    <row r="122" spans="5:11" x14ac:dyDescent="0.3">
      <c r="E122" s="2"/>
      <c r="F122" s="2"/>
      <c r="G122" s="2"/>
      <c r="H122" s="2"/>
      <c r="I122" s="2"/>
      <c r="J122" s="2"/>
      <c r="K122" s="2"/>
    </row>
    <row r="123" spans="5:11" x14ac:dyDescent="0.3">
      <c r="E123" s="2"/>
      <c r="F123" s="2"/>
      <c r="G123" s="2"/>
      <c r="H123" s="2"/>
      <c r="I123" s="2"/>
      <c r="J123" s="2"/>
      <c r="K123" s="2"/>
    </row>
    <row r="124" spans="5:11" x14ac:dyDescent="0.3">
      <c r="E124" s="2"/>
      <c r="F124" s="2"/>
      <c r="G124" s="2"/>
      <c r="H124" s="2"/>
      <c r="I124" s="2"/>
      <c r="J124" s="2"/>
      <c r="K124" s="2"/>
    </row>
    <row r="125" spans="5:11" x14ac:dyDescent="0.3">
      <c r="E125" s="2"/>
      <c r="F125" s="2"/>
      <c r="G125" s="2"/>
      <c r="H125" s="2"/>
      <c r="I125" s="2"/>
      <c r="J125" s="2"/>
      <c r="K125" s="2"/>
    </row>
  </sheetData>
  <mergeCells count="1">
    <mergeCell ref="A1:M2"/>
  </mergeCells>
  <conditionalFormatting sqref="C34:C35">
    <cfRule type="cellIs" dxfId="32" priority="1" operator="greaterThan">
      <formula>0</formula>
    </cfRule>
  </conditionalFormatting>
  <conditionalFormatting sqref="C6:J7">
    <cfRule type="cellIs" dxfId="31" priority="4" operator="greater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FC240-78E7-4AE0-9A63-7115065E63BA}">
  <dimension ref="A1:R127"/>
  <sheetViews>
    <sheetView zoomScale="70" zoomScaleNormal="70" workbookViewId="0">
      <selection activeCell="C6" sqref="C6:F9"/>
    </sheetView>
  </sheetViews>
  <sheetFormatPr defaultRowHeight="14.4" x14ac:dyDescent="0.3"/>
  <cols>
    <col min="2" max="2" width="53.5546875" customWidth="1"/>
    <col min="3" max="6" width="18.44140625" customWidth="1"/>
    <col min="7" max="7" width="17.5546875" customWidth="1"/>
    <col min="8" max="9" width="8.88671875" hidden="1" customWidth="1"/>
    <col min="10" max="10" width="2.109375" hidden="1" customWidth="1"/>
    <col min="11" max="13" width="8.88671875" hidden="1" customWidth="1"/>
    <col min="14" max="14" width="1.88671875" hidden="1" customWidth="1"/>
    <col min="15" max="16" width="8.88671875" hidden="1" customWidth="1"/>
    <col min="17" max="18" width="8.88671875" style="1"/>
  </cols>
  <sheetData>
    <row r="1" spans="1:16" x14ac:dyDescent="0.3">
      <c r="A1" s="33" t="s">
        <v>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6" ht="30.6" customHeight="1" x14ac:dyDescent="0.3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</row>
    <row r="3" spans="1:16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4"/>
    </row>
    <row r="4" spans="1:16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3"/>
      <c r="P4" s="4"/>
    </row>
    <row r="5" spans="1:16" ht="15.6" x14ac:dyDescent="0.3">
      <c r="A5" s="2"/>
      <c r="B5" s="2"/>
      <c r="C5" s="6" t="s">
        <v>13</v>
      </c>
      <c r="D5" s="6" t="s">
        <v>10</v>
      </c>
      <c r="E5" s="6" t="s">
        <v>11</v>
      </c>
      <c r="F5" s="6" t="s">
        <v>12</v>
      </c>
      <c r="G5" s="2"/>
      <c r="H5" s="15"/>
      <c r="I5" s="15"/>
      <c r="J5" s="15"/>
      <c r="K5" s="15"/>
      <c r="L5" s="7"/>
      <c r="M5" s="7"/>
      <c r="N5" s="2"/>
      <c r="O5" s="3"/>
      <c r="P5" s="4"/>
    </row>
    <row r="6" spans="1:16" ht="15.6" x14ac:dyDescent="0.3">
      <c r="A6" s="2"/>
      <c r="B6" s="8" t="s">
        <v>1</v>
      </c>
      <c r="C6" s="9">
        <v>1</v>
      </c>
      <c r="D6" s="9">
        <v>1</v>
      </c>
      <c r="E6" s="9">
        <v>1</v>
      </c>
      <c r="F6" s="9">
        <v>1</v>
      </c>
      <c r="G6" s="2"/>
      <c r="H6" s="10"/>
      <c r="I6" s="10"/>
      <c r="J6" s="10"/>
      <c r="K6" s="10"/>
      <c r="L6" s="10"/>
      <c r="M6" s="10"/>
      <c r="N6" s="2"/>
      <c r="O6" s="3"/>
      <c r="P6" s="4"/>
    </row>
    <row r="7" spans="1:16" ht="15.6" x14ac:dyDescent="0.3">
      <c r="A7" s="2"/>
      <c r="B7" s="8" t="s">
        <v>2</v>
      </c>
      <c r="C7" s="9">
        <v>8</v>
      </c>
      <c r="D7" s="9">
        <v>8</v>
      </c>
      <c r="E7" s="9">
        <v>8</v>
      </c>
      <c r="F7" s="9">
        <v>8</v>
      </c>
      <c r="G7" s="2"/>
      <c r="H7" s="10"/>
      <c r="I7" s="10"/>
      <c r="J7" s="10"/>
      <c r="K7" s="10"/>
      <c r="L7" s="10"/>
      <c r="M7" s="10"/>
      <c r="N7" s="2"/>
      <c r="O7" s="3"/>
      <c r="P7" s="4"/>
    </row>
    <row r="8" spans="1:16" ht="15.6" x14ac:dyDescent="0.3">
      <c r="A8" s="2"/>
      <c r="B8" s="8" t="s">
        <v>3</v>
      </c>
      <c r="C8" s="9">
        <v>0</v>
      </c>
      <c r="D8" s="9">
        <v>0</v>
      </c>
      <c r="E8" s="9">
        <v>0</v>
      </c>
      <c r="F8" s="9">
        <v>1</v>
      </c>
      <c r="G8" s="2"/>
      <c r="H8" s="10"/>
      <c r="I8" s="10"/>
      <c r="J8" s="10"/>
      <c r="K8" s="10"/>
      <c r="L8" s="10"/>
      <c r="M8" s="10"/>
      <c r="N8" s="2"/>
      <c r="O8" s="3"/>
      <c r="P8" s="4"/>
    </row>
    <row r="9" spans="1:16" ht="15.6" x14ac:dyDescent="0.3">
      <c r="A9" s="2"/>
      <c r="B9" s="11" t="s">
        <v>4</v>
      </c>
      <c r="C9" s="9">
        <v>1</v>
      </c>
      <c r="D9" s="9">
        <v>1</v>
      </c>
      <c r="E9" s="9">
        <v>2</v>
      </c>
      <c r="F9" s="9">
        <v>2</v>
      </c>
      <c r="G9" s="2"/>
      <c r="H9" s="10"/>
      <c r="I9" s="10"/>
      <c r="J9" s="10"/>
      <c r="K9" s="10"/>
      <c r="L9" s="10"/>
      <c r="M9" s="10"/>
      <c r="N9" s="2"/>
      <c r="O9" s="3"/>
      <c r="P9" s="4"/>
    </row>
    <row r="10" spans="1:16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3"/>
      <c r="P10" s="4"/>
    </row>
    <row r="11" spans="1:16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3"/>
      <c r="P11" s="4"/>
    </row>
    <row r="12" spans="1:16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3"/>
      <c r="P12" s="4"/>
    </row>
    <row r="13" spans="1:16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3"/>
      <c r="P13" s="4"/>
    </row>
    <row r="14" spans="1:16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3"/>
      <c r="P14" s="4"/>
    </row>
    <row r="15" spans="1:16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3"/>
      <c r="P15" s="4"/>
    </row>
    <row r="16" spans="1:16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3"/>
      <c r="P16" s="4"/>
    </row>
    <row r="17" spans="1:16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3"/>
      <c r="P17" s="4"/>
    </row>
    <row r="18" spans="1:16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3"/>
      <c r="P18" s="4"/>
    </row>
    <row r="19" spans="1:16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3"/>
      <c r="P19" s="4"/>
    </row>
    <row r="20" spans="1:16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3"/>
      <c r="P20" s="4"/>
    </row>
    <row r="21" spans="1:16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3"/>
      <c r="P21" s="4"/>
    </row>
    <row r="22" spans="1:16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3"/>
      <c r="P22" s="4"/>
    </row>
    <row r="23" spans="1:16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3"/>
      <c r="P23" s="4"/>
    </row>
    <row r="24" spans="1:16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3"/>
      <c r="P24" s="4"/>
    </row>
    <row r="25" spans="1:16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3"/>
      <c r="P25" s="4"/>
    </row>
    <row r="26" spans="1:16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3"/>
      <c r="P26" s="4"/>
    </row>
    <row r="27" spans="1:16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3"/>
      <c r="P27" s="4"/>
    </row>
    <row r="28" spans="1:16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3"/>
      <c r="P28" s="4"/>
    </row>
    <row r="29" spans="1:16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3"/>
      <c r="P29" s="4"/>
    </row>
    <row r="30" spans="1:16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3"/>
      <c r="P30" s="4"/>
    </row>
    <row r="31" spans="1:16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3"/>
      <c r="P31" s="4"/>
    </row>
    <row r="32" spans="1:16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3"/>
      <c r="P32" s="4"/>
    </row>
    <row r="33" spans="1:16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3"/>
      <c r="P33" s="4"/>
    </row>
    <row r="34" spans="1:16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3"/>
      <c r="P34" s="4"/>
    </row>
    <row r="35" spans="1:16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3"/>
      <c r="P35" s="4"/>
    </row>
    <row r="36" spans="1:16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3"/>
      <c r="P36" s="4"/>
    </row>
    <row r="37" spans="1:16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3"/>
      <c r="P37" s="4"/>
    </row>
    <row r="38" spans="1:16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/>
      <c r="P38" s="4"/>
    </row>
    <row r="39" spans="1:16" s="1" customForma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3"/>
      <c r="P39" s="4"/>
    </row>
    <row r="40" spans="1:16" s="1" customForma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3"/>
      <c r="P40" s="4"/>
    </row>
    <row r="41" spans="1:16" s="1" customForma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3"/>
      <c r="P41" s="4"/>
    </row>
    <row r="42" spans="1:16" s="1" customForma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3"/>
      <c r="P42" s="4"/>
    </row>
    <row r="43" spans="1:16" s="1" customForma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3"/>
      <c r="P43" s="4"/>
    </row>
    <row r="44" spans="1:16" s="1" customForma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3"/>
      <c r="P44" s="4"/>
    </row>
    <row r="45" spans="1:16" s="1" customForma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3"/>
      <c r="P45" s="4"/>
    </row>
    <row r="46" spans="1:16" s="1" customForma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3"/>
      <c r="P46" s="4"/>
    </row>
    <row r="47" spans="1:16" s="1" customForma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3"/>
      <c r="P47" s="4"/>
    </row>
    <row r="48" spans="1:16" s="1" customForma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3"/>
      <c r="P48" s="4"/>
    </row>
    <row r="49" spans="1:16" s="1" customForma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3"/>
      <c r="P49" s="4"/>
    </row>
    <row r="50" spans="1:16" s="1" customForma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3"/>
      <c r="P50" s="4"/>
    </row>
    <row r="51" spans="1:16" s="1" customForma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3"/>
      <c r="P51" s="4"/>
    </row>
    <row r="52" spans="1:16" s="1" customForma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3"/>
      <c r="P52" s="4"/>
    </row>
    <row r="53" spans="1:16" s="1" customForma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3"/>
      <c r="P53" s="4"/>
    </row>
    <row r="54" spans="1:16" s="1" customForma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3"/>
      <c r="P54" s="4"/>
    </row>
    <row r="55" spans="1:16" s="1" customForma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3"/>
      <c r="P55" s="4"/>
    </row>
    <row r="56" spans="1:16" s="1" customForma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"/>
      <c r="P56" s="4"/>
    </row>
    <row r="57" spans="1:16" s="1" customForma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3"/>
      <c r="P57" s="4"/>
    </row>
    <row r="58" spans="1:16" s="1" customForma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"/>
      <c r="P58" s="4"/>
    </row>
    <row r="59" spans="1:16" s="1" customForma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4"/>
    </row>
    <row r="60" spans="1:16" s="1" customForma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3"/>
      <c r="P60" s="4"/>
    </row>
    <row r="61" spans="1:16" s="1" customForma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3"/>
      <c r="P61" s="4"/>
    </row>
    <row r="62" spans="1:16" s="1" customForma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3"/>
      <c r="P62" s="4"/>
    </row>
    <row r="63" spans="1:16" s="1" customForma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3"/>
      <c r="P63" s="4"/>
    </row>
    <row r="64" spans="1:16" s="1" customForma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3"/>
      <c r="P64" s="4"/>
    </row>
    <row r="65" spans="1:16" s="1" customForma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3"/>
      <c r="P65" s="4"/>
    </row>
    <row r="66" spans="1:16" s="1" customForma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3"/>
      <c r="P66" s="4"/>
    </row>
    <row r="67" spans="1:16" s="1" customForma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3"/>
      <c r="P67" s="4"/>
    </row>
    <row r="68" spans="1:16" s="1" customForma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3"/>
      <c r="P68" s="4"/>
    </row>
    <row r="69" spans="1:16" s="1" customForma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3"/>
      <c r="P69" s="4"/>
    </row>
    <row r="70" spans="1:16" s="1" customForma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3"/>
      <c r="P70" s="4"/>
    </row>
    <row r="71" spans="1:16" s="1" customForma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/>
      <c r="P71" s="4"/>
    </row>
    <row r="72" spans="1:16" s="1" customForma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3"/>
      <c r="P72" s="4"/>
    </row>
    <row r="73" spans="1:16" s="1" customForma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3"/>
      <c r="P73" s="4"/>
    </row>
    <row r="74" spans="1:16" s="1" customForma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3"/>
      <c r="P74" s="4"/>
    </row>
    <row r="75" spans="1:16" s="1" customForma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3"/>
      <c r="P75" s="4"/>
    </row>
    <row r="76" spans="1:16" s="1" customForma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3"/>
      <c r="P76" s="4"/>
    </row>
    <row r="77" spans="1:16" s="1" customForma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3"/>
      <c r="P77" s="4"/>
    </row>
    <row r="78" spans="1:16" s="1" customForma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3"/>
      <c r="P78" s="4"/>
    </row>
    <row r="79" spans="1:16" s="1" customForma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3"/>
      <c r="P79" s="4"/>
    </row>
    <row r="80" spans="1:16" s="1" customForma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3"/>
      <c r="P80" s="4"/>
    </row>
    <row r="81" spans="1:16" s="1" customForma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3"/>
      <c r="P81" s="4"/>
    </row>
    <row r="82" spans="1:16" s="1" customForma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3"/>
      <c r="P82" s="4"/>
    </row>
    <row r="83" spans="1:16" s="1" customForma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3"/>
      <c r="P83" s="4"/>
    </row>
    <row r="84" spans="1:16" s="1" customForma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3"/>
      <c r="P84" s="4"/>
    </row>
    <row r="85" spans="1:16" s="1" customForma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3"/>
      <c r="P85" s="4"/>
    </row>
    <row r="86" spans="1:16" s="1" customForma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3"/>
      <c r="P86" s="4"/>
    </row>
    <row r="87" spans="1:16" s="1" customForma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3"/>
      <c r="P87" s="4"/>
    </row>
    <row r="88" spans="1:16" s="1" customForma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3"/>
      <c r="P88" s="4"/>
    </row>
    <row r="89" spans="1:16" s="1" customForma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3"/>
      <c r="P89" s="4"/>
    </row>
    <row r="90" spans="1:16" s="1" customForma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3"/>
      <c r="P90" s="4"/>
    </row>
    <row r="91" spans="1:16" s="1" customForma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3"/>
      <c r="P91" s="4"/>
    </row>
    <row r="92" spans="1:16" s="1" customForma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3"/>
      <c r="P92" s="4"/>
    </row>
    <row r="93" spans="1:16" s="1" customForma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3"/>
      <c r="P93" s="4"/>
    </row>
    <row r="94" spans="1:16" s="1" customForma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3"/>
      <c r="P94" s="4"/>
    </row>
    <row r="95" spans="1:16" s="1" customForma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3"/>
      <c r="P95" s="4"/>
    </row>
    <row r="96" spans="1:16" s="1" customForma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3"/>
      <c r="P96" s="4"/>
    </row>
    <row r="97" spans="1:16" s="1" customForma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3"/>
      <c r="P97" s="4"/>
    </row>
    <row r="98" spans="1:16" s="1" customForma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3"/>
      <c r="P98" s="4"/>
    </row>
    <row r="99" spans="1:16" s="1" customFormat="1" x14ac:dyDescent="0.3">
      <c r="A99" s="2"/>
      <c r="B99" s="2"/>
      <c r="C99" s="2"/>
      <c r="D99" s="2"/>
      <c r="E99" s="2"/>
      <c r="F99" s="2"/>
      <c r="G99"/>
      <c r="H99" s="2"/>
      <c r="I99" s="2"/>
      <c r="J99" s="2"/>
      <c r="K99" s="2"/>
      <c r="L99" s="2"/>
      <c r="M99" s="2"/>
      <c r="N99" s="2"/>
      <c r="O99" s="3"/>
      <c r="P99" s="4"/>
    </row>
    <row r="100" spans="1:16" s="1" customFormat="1" x14ac:dyDescent="0.3">
      <c r="A100" s="2"/>
      <c r="B100" s="2"/>
      <c r="C100" s="2"/>
      <c r="D100" s="2"/>
      <c r="E100" s="2"/>
      <c r="F100" s="2"/>
      <c r="G100"/>
      <c r="H100" s="2"/>
      <c r="I100" s="2"/>
      <c r="J100" s="2"/>
      <c r="K100" s="2"/>
      <c r="L100" s="2"/>
      <c r="M100" s="2"/>
      <c r="N100" s="2"/>
      <c r="O100" s="3"/>
      <c r="P100" s="4"/>
    </row>
    <row r="101" spans="1:16" s="1" customFormat="1" x14ac:dyDescent="0.3">
      <c r="A101" s="2"/>
      <c r="B101" s="2"/>
      <c r="C101" s="2"/>
      <c r="D101" s="2"/>
      <c r="E101" s="2"/>
      <c r="F101" s="2"/>
      <c r="G101"/>
      <c r="H101" s="2"/>
      <c r="I101" s="2"/>
      <c r="J101" s="2"/>
      <c r="K101" s="2"/>
      <c r="L101" s="2"/>
      <c r="M101" s="2"/>
      <c r="N101" s="2"/>
      <c r="O101" s="3"/>
      <c r="P101" s="4"/>
    </row>
    <row r="102" spans="1:16" s="1" customFormat="1" x14ac:dyDescent="0.3">
      <c r="A102" s="2"/>
      <c r="B102" s="2"/>
      <c r="C102" s="2"/>
      <c r="D102" s="2"/>
      <c r="E102" s="2"/>
      <c r="F102" s="2"/>
      <c r="G102"/>
      <c r="H102" s="2"/>
      <c r="I102" s="2"/>
      <c r="J102" s="2"/>
      <c r="K102" s="2"/>
      <c r="L102" s="2"/>
      <c r="M102" s="2"/>
      <c r="N102" s="2"/>
      <c r="O102" s="3"/>
      <c r="P102" s="4"/>
    </row>
    <row r="103" spans="1:16" s="1" customFormat="1" x14ac:dyDescent="0.3">
      <c r="A103" s="2"/>
      <c r="B103" s="2"/>
      <c r="C103" s="2"/>
      <c r="D103" s="2"/>
      <c r="E103" s="2"/>
      <c r="F103" s="2"/>
      <c r="G103"/>
      <c r="H103" s="2"/>
      <c r="I103" s="2"/>
      <c r="J103" s="2"/>
      <c r="K103" s="2"/>
      <c r="L103" s="2"/>
      <c r="M103" s="2"/>
      <c r="N103" s="2"/>
      <c r="O103" s="3"/>
      <c r="P103" s="4"/>
    </row>
    <row r="104" spans="1:16" s="1" customFormat="1" x14ac:dyDescent="0.3">
      <c r="A104"/>
      <c r="B104"/>
      <c r="C104"/>
      <c r="D104"/>
      <c r="E104"/>
      <c r="F104"/>
      <c r="G104"/>
      <c r="H104" s="2"/>
      <c r="I104" s="2"/>
      <c r="J104" s="2"/>
      <c r="K104" s="2"/>
      <c r="L104" s="2"/>
      <c r="M104" s="2"/>
      <c r="N104" s="2"/>
      <c r="O104" s="3"/>
      <c r="P104" s="4"/>
    </row>
    <row r="105" spans="1:16" s="1" customFormat="1" x14ac:dyDescent="0.3">
      <c r="A105"/>
      <c r="B105"/>
      <c r="C105"/>
      <c r="D105"/>
      <c r="E105"/>
      <c r="F105"/>
      <c r="G105"/>
      <c r="H105" s="2"/>
      <c r="I105" s="2"/>
      <c r="J105" s="2"/>
      <c r="K105" s="2"/>
      <c r="L105" s="2"/>
      <c r="M105" s="2"/>
      <c r="N105" s="2"/>
      <c r="O105" s="3"/>
      <c r="P105" s="4"/>
    </row>
    <row r="106" spans="1:16" s="1" customFormat="1" x14ac:dyDescent="0.3">
      <c r="A106"/>
      <c r="B106"/>
      <c r="C106"/>
      <c r="D106"/>
      <c r="E106"/>
      <c r="F106"/>
      <c r="G106"/>
      <c r="H106" s="2"/>
      <c r="I106" s="2"/>
      <c r="J106" s="2"/>
      <c r="K106" s="2"/>
      <c r="L106" s="2"/>
      <c r="M106" s="2"/>
      <c r="N106" s="2"/>
      <c r="O106" s="3"/>
      <c r="P106" s="4"/>
    </row>
    <row r="107" spans="1:16" s="1" customFormat="1" x14ac:dyDescent="0.3">
      <c r="A107"/>
      <c r="B107"/>
      <c r="C107"/>
      <c r="D107"/>
      <c r="E107"/>
      <c r="F107"/>
      <c r="G107"/>
      <c r="H107" s="2"/>
      <c r="I107" s="2"/>
      <c r="J107" s="2"/>
      <c r="K107" s="2"/>
      <c r="L107" s="2"/>
      <c r="M107" s="2"/>
      <c r="N107" s="2"/>
      <c r="O107" s="3"/>
      <c r="P107" s="4"/>
    </row>
    <row r="108" spans="1:16" s="1" customFormat="1" x14ac:dyDescent="0.3">
      <c r="A108"/>
      <c r="B108"/>
      <c r="C108"/>
      <c r="D108"/>
      <c r="E108"/>
      <c r="F108"/>
      <c r="G108"/>
      <c r="H108" s="2"/>
      <c r="I108" s="2"/>
      <c r="J108" s="2"/>
      <c r="K108" s="2"/>
      <c r="L108" s="2"/>
      <c r="M108" s="2"/>
      <c r="N108" s="2"/>
      <c r="O108" s="3"/>
      <c r="P108" s="4"/>
    </row>
    <row r="109" spans="1:16" s="1" customFormat="1" x14ac:dyDescent="0.3">
      <c r="A109"/>
      <c r="B109"/>
      <c r="C109"/>
      <c r="D109"/>
      <c r="E109"/>
      <c r="F109"/>
      <c r="G109"/>
      <c r="H109" s="2"/>
      <c r="I109" s="2"/>
      <c r="J109" s="2"/>
      <c r="K109" s="2"/>
      <c r="L109" s="2"/>
      <c r="M109" s="2"/>
      <c r="N109" s="2"/>
      <c r="O109" s="3"/>
      <c r="P109" s="4"/>
    </row>
    <row r="110" spans="1:16" s="1" customFormat="1" x14ac:dyDescent="0.3">
      <c r="A110"/>
      <c r="B110"/>
      <c r="C110"/>
      <c r="D110"/>
      <c r="E110"/>
      <c r="F110"/>
      <c r="G110"/>
      <c r="H110" s="2"/>
      <c r="I110" s="2"/>
      <c r="J110" s="2"/>
      <c r="K110" s="2"/>
      <c r="L110" s="2"/>
      <c r="M110" s="2"/>
      <c r="N110" s="2"/>
      <c r="O110" s="13"/>
      <c r="P110" s="14"/>
    </row>
    <row r="111" spans="1:16" x14ac:dyDescent="0.3">
      <c r="H111" s="2"/>
      <c r="I111" s="2"/>
      <c r="J111" s="2"/>
      <c r="K111" s="2"/>
      <c r="L111" s="2"/>
      <c r="M111" s="2"/>
      <c r="N111" s="2"/>
    </row>
    <row r="112" spans="1:16" x14ac:dyDescent="0.3">
      <c r="H112" s="2"/>
      <c r="I112" s="2"/>
      <c r="J112" s="2"/>
      <c r="K112" s="2"/>
      <c r="L112" s="2"/>
      <c r="M112" s="2"/>
      <c r="N112" s="2"/>
    </row>
    <row r="113" spans="8:14" x14ac:dyDescent="0.3">
      <c r="H113" s="2"/>
      <c r="I113" s="2"/>
      <c r="J113" s="2"/>
      <c r="K113" s="2"/>
      <c r="L113" s="2"/>
      <c r="M113" s="2"/>
      <c r="N113" s="2"/>
    </row>
    <row r="114" spans="8:14" x14ac:dyDescent="0.3">
      <c r="H114" s="2"/>
      <c r="I114" s="2"/>
      <c r="J114" s="2"/>
      <c r="K114" s="2"/>
      <c r="L114" s="2"/>
      <c r="M114" s="2"/>
      <c r="N114" s="2"/>
    </row>
    <row r="115" spans="8:14" x14ac:dyDescent="0.3">
      <c r="H115" s="2"/>
      <c r="I115" s="2"/>
      <c r="J115" s="2"/>
      <c r="K115" s="2"/>
      <c r="L115" s="2"/>
      <c r="M115" s="2"/>
      <c r="N115" s="2"/>
    </row>
    <row r="116" spans="8:14" x14ac:dyDescent="0.3">
      <c r="H116" s="2"/>
      <c r="I116" s="2"/>
      <c r="J116" s="2"/>
      <c r="K116" s="2"/>
      <c r="L116" s="2"/>
      <c r="M116" s="2"/>
      <c r="N116" s="2"/>
    </row>
    <row r="117" spans="8:14" x14ac:dyDescent="0.3">
      <c r="H117" s="2"/>
      <c r="I117" s="2"/>
      <c r="J117" s="2"/>
      <c r="K117" s="2"/>
      <c r="L117" s="2"/>
      <c r="M117" s="2"/>
      <c r="N117" s="2"/>
    </row>
    <row r="118" spans="8:14" x14ac:dyDescent="0.3">
      <c r="H118" s="2"/>
      <c r="I118" s="2"/>
      <c r="J118" s="2"/>
      <c r="K118" s="2"/>
      <c r="L118" s="2"/>
      <c r="M118" s="2"/>
      <c r="N118" s="2"/>
    </row>
    <row r="119" spans="8:14" x14ac:dyDescent="0.3">
      <c r="H119" s="2"/>
      <c r="I119" s="2"/>
      <c r="J119" s="2"/>
      <c r="K119" s="2"/>
      <c r="L119" s="2"/>
      <c r="M119" s="2"/>
      <c r="N119" s="2"/>
    </row>
    <row r="120" spans="8:14" x14ac:dyDescent="0.3">
      <c r="H120" s="2"/>
      <c r="I120" s="2"/>
      <c r="J120" s="2"/>
      <c r="K120" s="2"/>
      <c r="L120" s="2"/>
      <c r="M120" s="2"/>
      <c r="N120" s="2"/>
    </row>
    <row r="121" spans="8:14" x14ac:dyDescent="0.3">
      <c r="H121" s="2"/>
      <c r="I121" s="2"/>
      <c r="J121" s="2"/>
      <c r="K121" s="2"/>
      <c r="L121" s="2"/>
      <c r="M121" s="2"/>
      <c r="N121" s="2"/>
    </row>
    <row r="122" spans="8:14" x14ac:dyDescent="0.3">
      <c r="H122" s="2"/>
      <c r="I122" s="2"/>
      <c r="J122" s="2"/>
      <c r="K122" s="2"/>
      <c r="L122" s="2"/>
      <c r="M122" s="2"/>
      <c r="N122" s="2"/>
    </row>
    <row r="123" spans="8:14" x14ac:dyDescent="0.3">
      <c r="H123" s="2"/>
      <c r="I123" s="2"/>
      <c r="J123" s="2"/>
      <c r="K123" s="2"/>
      <c r="L123" s="2"/>
      <c r="M123" s="2"/>
      <c r="N123" s="2"/>
    </row>
    <row r="124" spans="8:14" x14ac:dyDescent="0.3">
      <c r="H124" s="2"/>
      <c r="I124" s="2"/>
      <c r="J124" s="2"/>
      <c r="K124" s="2"/>
      <c r="L124" s="2"/>
      <c r="M124" s="2"/>
      <c r="N124" s="2"/>
    </row>
    <row r="125" spans="8:14" x14ac:dyDescent="0.3">
      <c r="H125" s="2"/>
      <c r="I125" s="2"/>
      <c r="J125" s="2"/>
      <c r="K125" s="2"/>
      <c r="L125" s="2"/>
      <c r="M125" s="2"/>
      <c r="N125" s="2"/>
    </row>
    <row r="126" spans="8:14" x14ac:dyDescent="0.3">
      <c r="H126" s="2"/>
      <c r="I126" s="2"/>
      <c r="J126" s="2"/>
      <c r="K126" s="2"/>
      <c r="L126" s="2"/>
      <c r="M126" s="2"/>
      <c r="N126" s="2"/>
    </row>
    <row r="127" spans="8:14" x14ac:dyDescent="0.3">
      <c r="H127" s="2"/>
      <c r="I127" s="2"/>
      <c r="J127" s="2"/>
      <c r="K127" s="2"/>
      <c r="L127" s="2"/>
      <c r="M127" s="2"/>
      <c r="N127" s="2"/>
    </row>
  </sheetData>
  <mergeCells count="1">
    <mergeCell ref="A1:P2"/>
  </mergeCells>
  <conditionalFormatting sqref="C6:M9">
    <cfRule type="cellIs" dxfId="30" priority="1" operator="greater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B3DFF-0152-4FF2-A668-4BE787C8AA5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475F5-86B8-48C8-9A40-61E04F76EDF7}">
  <dimension ref="A1:R127"/>
  <sheetViews>
    <sheetView zoomScale="70" zoomScaleNormal="70" workbookViewId="0">
      <selection activeCell="R18" sqref="R18"/>
    </sheetView>
  </sheetViews>
  <sheetFormatPr defaultRowHeight="14.4" x14ac:dyDescent="0.3"/>
  <cols>
    <col min="2" max="2" width="53.5546875" customWidth="1"/>
    <col min="3" max="6" width="18.44140625" customWidth="1"/>
    <col min="7" max="7" width="17.5546875" customWidth="1"/>
    <col min="8" max="9" width="8.88671875" hidden="1" customWidth="1"/>
    <col min="10" max="10" width="2.109375" hidden="1" customWidth="1"/>
    <col min="11" max="13" width="8.88671875" hidden="1" customWidth="1"/>
    <col min="14" max="14" width="1.88671875" hidden="1" customWidth="1"/>
    <col min="15" max="16" width="8.88671875" hidden="1" customWidth="1"/>
    <col min="17" max="18" width="8.88671875" style="1"/>
  </cols>
  <sheetData>
    <row r="1" spans="1:16" x14ac:dyDescent="0.3">
      <c r="A1" s="33" t="s">
        <v>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6" ht="30.6" customHeight="1" x14ac:dyDescent="0.3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</row>
    <row r="3" spans="1:16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4"/>
    </row>
    <row r="4" spans="1:16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3"/>
      <c r="P4" s="4"/>
    </row>
    <row r="5" spans="1:16" ht="15.6" x14ac:dyDescent="0.3">
      <c r="A5" s="2"/>
      <c r="B5" s="2"/>
      <c r="C5" s="6" t="s">
        <v>9</v>
      </c>
      <c r="D5" s="6" t="s">
        <v>10</v>
      </c>
      <c r="E5" s="6" t="s">
        <v>11</v>
      </c>
      <c r="F5" s="6" t="s">
        <v>12</v>
      </c>
      <c r="G5" s="2"/>
      <c r="H5" s="15"/>
      <c r="I5" s="15"/>
      <c r="J5" s="15"/>
      <c r="K5" s="15"/>
      <c r="L5" s="7"/>
      <c r="M5" s="7"/>
      <c r="N5" s="2"/>
      <c r="O5" s="3"/>
      <c r="P5" s="4"/>
    </row>
    <row r="6" spans="1:16" ht="15.6" x14ac:dyDescent="0.3">
      <c r="A6" s="2"/>
      <c r="B6" s="8" t="s">
        <v>1</v>
      </c>
      <c r="C6" s="9">
        <v>0</v>
      </c>
      <c r="D6" s="9">
        <v>0</v>
      </c>
      <c r="E6" s="9">
        <v>0</v>
      </c>
      <c r="F6" s="9">
        <v>0</v>
      </c>
      <c r="G6" s="2"/>
      <c r="H6" s="10"/>
      <c r="I6" s="10"/>
      <c r="J6" s="10"/>
      <c r="K6" s="10"/>
      <c r="L6" s="10"/>
      <c r="M6" s="10"/>
      <c r="N6" s="2"/>
      <c r="O6" s="3"/>
      <c r="P6" s="4"/>
    </row>
    <row r="7" spans="1:16" ht="15.6" x14ac:dyDescent="0.3">
      <c r="A7" s="2"/>
      <c r="B7" s="8" t="s">
        <v>2</v>
      </c>
      <c r="C7" s="9">
        <v>14</v>
      </c>
      <c r="D7" s="9">
        <v>14</v>
      </c>
      <c r="E7" s="9">
        <v>14</v>
      </c>
      <c r="F7" s="9">
        <v>14</v>
      </c>
      <c r="G7" s="2"/>
      <c r="H7" s="10"/>
      <c r="I7" s="10"/>
      <c r="J7" s="10"/>
      <c r="K7" s="10"/>
      <c r="L7" s="10"/>
      <c r="M7" s="10"/>
      <c r="N7" s="2"/>
      <c r="O7" s="3"/>
      <c r="P7" s="4"/>
    </row>
    <row r="8" spans="1:16" ht="15.6" x14ac:dyDescent="0.3">
      <c r="A8" s="2"/>
      <c r="B8" s="8" t="s">
        <v>3</v>
      </c>
      <c r="C8" s="9">
        <v>1</v>
      </c>
      <c r="D8" s="9">
        <v>2</v>
      </c>
      <c r="E8" s="9">
        <v>2</v>
      </c>
      <c r="F8" s="9">
        <v>5</v>
      </c>
      <c r="G8" s="2"/>
      <c r="H8" s="10"/>
      <c r="I8" s="10"/>
      <c r="J8" s="10"/>
      <c r="K8" s="10"/>
      <c r="L8" s="10"/>
      <c r="M8" s="10"/>
      <c r="N8" s="2"/>
      <c r="O8" s="3"/>
      <c r="P8" s="4"/>
    </row>
    <row r="9" spans="1:16" ht="15.6" x14ac:dyDescent="0.3">
      <c r="A9" s="2"/>
      <c r="B9" s="11" t="s">
        <v>4</v>
      </c>
      <c r="C9" s="9">
        <v>0</v>
      </c>
      <c r="D9" s="9">
        <v>0</v>
      </c>
      <c r="E9" s="9">
        <v>0</v>
      </c>
      <c r="F9" s="9">
        <v>0</v>
      </c>
      <c r="G9" s="2"/>
      <c r="H9" s="10"/>
      <c r="I9" s="10"/>
      <c r="J9" s="10"/>
      <c r="K9" s="10"/>
      <c r="L9" s="10"/>
      <c r="M9" s="10"/>
      <c r="N9" s="2"/>
      <c r="O9" s="3"/>
      <c r="P9" s="4"/>
    </row>
    <row r="10" spans="1:16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3"/>
      <c r="P10" s="4"/>
    </row>
    <row r="11" spans="1:16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3"/>
      <c r="P11" s="4"/>
    </row>
    <row r="12" spans="1:16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3"/>
      <c r="P12" s="4"/>
    </row>
    <row r="13" spans="1:16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3"/>
      <c r="P13" s="4"/>
    </row>
    <row r="14" spans="1:16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3"/>
      <c r="P14" s="4"/>
    </row>
    <row r="15" spans="1:16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3"/>
      <c r="P15" s="4"/>
    </row>
    <row r="16" spans="1:16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3"/>
      <c r="P16" s="4"/>
    </row>
    <row r="17" spans="1:16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3"/>
      <c r="P17" s="4"/>
    </row>
    <row r="18" spans="1:16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3"/>
      <c r="P18" s="4"/>
    </row>
    <row r="19" spans="1:16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3"/>
      <c r="P19" s="4"/>
    </row>
    <row r="20" spans="1:16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3"/>
      <c r="P20" s="4"/>
    </row>
    <row r="21" spans="1:16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3"/>
      <c r="P21" s="4"/>
    </row>
    <row r="22" spans="1:16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3"/>
      <c r="P22" s="4"/>
    </row>
    <row r="23" spans="1:16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3"/>
      <c r="P23" s="4"/>
    </row>
    <row r="24" spans="1:16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3"/>
      <c r="P24" s="4"/>
    </row>
    <row r="25" spans="1:16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3"/>
      <c r="P25" s="4"/>
    </row>
    <row r="26" spans="1:16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3"/>
      <c r="P26" s="4"/>
    </row>
    <row r="27" spans="1:16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3"/>
      <c r="P27" s="4"/>
    </row>
    <row r="28" spans="1:16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3"/>
      <c r="P28" s="4"/>
    </row>
    <row r="29" spans="1:16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3"/>
      <c r="P29" s="4"/>
    </row>
    <row r="30" spans="1:16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3"/>
      <c r="P30" s="4"/>
    </row>
    <row r="31" spans="1:16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3"/>
      <c r="P31" s="4"/>
    </row>
    <row r="32" spans="1:16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3"/>
      <c r="P32" s="4"/>
    </row>
    <row r="33" spans="1:16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3"/>
      <c r="P33" s="4"/>
    </row>
    <row r="34" spans="1:16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3"/>
      <c r="P34" s="4"/>
    </row>
    <row r="35" spans="1:16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3"/>
      <c r="P35" s="4"/>
    </row>
    <row r="36" spans="1:16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3"/>
      <c r="P36" s="4"/>
    </row>
    <row r="37" spans="1:16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3"/>
      <c r="P37" s="4"/>
    </row>
    <row r="38" spans="1:16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/>
      <c r="P38" s="4"/>
    </row>
    <row r="39" spans="1:16" s="1" customForma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3"/>
      <c r="P39" s="4"/>
    </row>
    <row r="40" spans="1:16" s="1" customForma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3"/>
      <c r="P40" s="4"/>
    </row>
    <row r="41" spans="1:16" s="1" customForma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3"/>
      <c r="P41" s="4"/>
    </row>
    <row r="42" spans="1:16" s="1" customForma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3"/>
      <c r="P42" s="4"/>
    </row>
    <row r="43" spans="1:16" s="1" customForma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3"/>
      <c r="P43" s="4"/>
    </row>
    <row r="44" spans="1:16" s="1" customForma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3"/>
      <c r="P44" s="4"/>
    </row>
    <row r="45" spans="1:16" s="1" customForma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3"/>
      <c r="P45" s="4"/>
    </row>
    <row r="46" spans="1:16" s="1" customForma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3"/>
      <c r="P46" s="4"/>
    </row>
    <row r="47" spans="1:16" s="1" customForma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3"/>
      <c r="P47" s="4"/>
    </row>
    <row r="48" spans="1:16" s="1" customForma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3"/>
      <c r="P48" s="4"/>
    </row>
    <row r="49" spans="1:16" s="1" customForma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3"/>
      <c r="P49" s="4"/>
    </row>
    <row r="50" spans="1:16" s="1" customForma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3"/>
      <c r="P50" s="4"/>
    </row>
    <row r="51" spans="1:16" s="1" customForma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3"/>
      <c r="P51" s="4"/>
    </row>
    <row r="52" spans="1:16" s="1" customForma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3"/>
      <c r="P52" s="4"/>
    </row>
    <row r="53" spans="1:16" s="1" customForma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3"/>
      <c r="P53" s="4"/>
    </row>
    <row r="54" spans="1:16" s="1" customForma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3"/>
      <c r="P54" s="4"/>
    </row>
    <row r="55" spans="1:16" s="1" customForma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3"/>
      <c r="P55" s="4"/>
    </row>
    <row r="56" spans="1:16" s="1" customForma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"/>
      <c r="P56" s="4"/>
    </row>
    <row r="57" spans="1:16" s="1" customForma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3"/>
      <c r="P57" s="4"/>
    </row>
    <row r="58" spans="1:16" s="1" customForma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"/>
      <c r="P58" s="4"/>
    </row>
    <row r="59" spans="1:16" s="1" customForma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4"/>
    </row>
    <row r="60" spans="1:16" s="1" customForma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3"/>
      <c r="P60" s="4"/>
    </row>
    <row r="61" spans="1:16" s="1" customForma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3"/>
      <c r="P61" s="4"/>
    </row>
    <row r="62" spans="1:16" s="1" customForma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3"/>
      <c r="P62" s="4"/>
    </row>
    <row r="63" spans="1:16" s="1" customForma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3"/>
      <c r="P63" s="4"/>
    </row>
    <row r="64" spans="1:16" s="1" customForma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3"/>
      <c r="P64" s="4"/>
    </row>
    <row r="65" spans="1:16" s="1" customForma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3"/>
      <c r="P65" s="4"/>
    </row>
    <row r="66" spans="1:16" s="1" customForma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3"/>
      <c r="P66" s="4"/>
    </row>
    <row r="67" spans="1:16" s="1" customForma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3"/>
      <c r="P67" s="4"/>
    </row>
    <row r="68" spans="1:16" s="1" customForma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3"/>
      <c r="P68" s="4"/>
    </row>
    <row r="69" spans="1:16" s="1" customForma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3"/>
      <c r="P69" s="4"/>
    </row>
    <row r="70" spans="1:16" s="1" customForma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3"/>
      <c r="P70" s="4"/>
    </row>
    <row r="71" spans="1:16" s="1" customForma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/>
      <c r="P71" s="4"/>
    </row>
    <row r="72" spans="1:16" s="1" customForma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3"/>
      <c r="P72" s="4"/>
    </row>
    <row r="73" spans="1:16" s="1" customForma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3"/>
      <c r="P73" s="4"/>
    </row>
    <row r="74" spans="1:16" s="1" customForma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3"/>
      <c r="P74" s="4"/>
    </row>
    <row r="75" spans="1:16" s="1" customForma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3"/>
      <c r="P75" s="4"/>
    </row>
    <row r="76" spans="1:16" s="1" customForma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3"/>
      <c r="P76" s="4"/>
    </row>
    <row r="77" spans="1:16" s="1" customForma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3"/>
      <c r="P77" s="4"/>
    </row>
    <row r="78" spans="1:16" s="1" customForma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3"/>
      <c r="P78" s="4"/>
    </row>
    <row r="79" spans="1:16" s="1" customForma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3"/>
      <c r="P79" s="4"/>
    </row>
    <row r="80" spans="1:16" s="1" customForma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3"/>
      <c r="P80" s="4"/>
    </row>
    <row r="81" spans="1:16" s="1" customForma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3"/>
      <c r="P81" s="4"/>
    </row>
    <row r="82" spans="1:16" s="1" customForma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3"/>
      <c r="P82" s="4"/>
    </row>
    <row r="83" spans="1:16" s="1" customForma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3"/>
      <c r="P83" s="4"/>
    </row>
    <row r="84" spans="1:16" s="1" customForma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3"/>
      <c r="P84" s="4"/>
    </row>
    <row r="85" spans="1:16" s="1" customForma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3"/>
      <c r="P85" s="4"/>
    </row>
    <row r="86" spans="1:16" s="1" customForma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3"/>
      <c r="P86" s="4"/>
    </row>
    <row r="87" spans="1:16" s="1" customForma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3"/>
      <c r="P87" s="4"/>
    </row>
    <row r="88" spans="1:16" s="1" customForma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3"/>
      <c r="P88" s="4"/>
    </row>
    <row r="89" spans="1:16" s="1" customForma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3"/>
      <c r="P89" s="4"/>
    </row>
    <row r="90" spans="1:16" s="1" customForma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3"/>
      <c r="P90" s="4"/>
    </row>
    <row r="91" spans="1:16" s="1" customForma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3"/>
      <c r="P91" s="4"/>
    </row>
    <row r="92" spans="1:16" s="1" customForma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3"/>
      <c r="P92" s="4"/>
    </row>
    <row r="93" spans="1:16" s="1" customForma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3"/>
      <c r="P93" s="4"/>
    </row>
    <row r="94" spans="1:16" s="1" customForma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3"/>
      <c r="P94" s="4"/>
    </row>
    <row r="95" spans="1:16" s="1" customForma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3"/>
      <c r="P95" s="4"/>
    </row>
    <row r="96" spans="1:16" s="1" customForma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3"/>
      <c r="P96" s="4"/>
    </row>
    <row r="97" spans="1:16" s="1" customForma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3"/>
      <c r="P97" s="4"/>
    </row>
    <row r="98" spans="1:16" s="1" customForma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3"/>
      <c r="P98" s="4"/>
    </row>
    <row r="99" spans="1:16" s="1" customFormat="1" x14ac:dyDescent="0.3">
      <c r="A99" s="2"/>
      <c r="B99" s="2"/>
      <c r="C99" s="2"/>
      <c r="D99" s="2"/>
      <c r="E99" s="2"/>
      <c r="F99" s="2"/>
      <c r="G99"/>
      <c r="H99" s="2"/>
      <c r="I99" s="2"/>
      <c r="J99" s="2"/>
      <c r="K99" s="2"/>
      <c r="L99" s="2"/>
      <c r="M99" s="2"/>
      <c r="N99" s="2"/>
      <c r="O99" s="3"/>
      <c r="P99" s="4"/>
    </row>
    <row r="100" spans="1:16" s="1" customFormat="1" x14ac:dyDescent="0.3">
      <c r="A100" s="2"/>
      <c r="B100" s="2"/>
      <c r="C100" s="2"/>
      <c r="D100" s="2"/>
      <c r="E100" s="2"/>
      <c r="F100" s="2"/>
      <c r="G100"/>
      <c r="H100" s="2"/>
      <c r="I100" s="2"/>
      <c r="J100" s="2"/>
      <c r="K100" s="2"/>
      <c r="L100" s="2"/>
      <c r="M100" s="2"/>
      <c r="N100" s="2"/>
      <c r="O100" s="3"/>
      <c r="P100" s="4"/>
    </row>
    <row r="101" spans="1:16" s="1" customFormat="1" x14ac:dyDescent="0.3">
      <c r="A101" s="2"/>
      <c r="B101" s="2"/>
      <c r="C101" s="2"/>
      <c r="D101" s="2"/>
      <c r="E101" s="2"/>
      <c r="F101" s="2"/>
      <c r="G101"/>
      <c r="H101" s="2"/>
      <c r="I101" s="2"/>
      <c r="J101" s="2"/>
      <c r="K101" s="2"/>
      <c r="L101" s="2"/>
      <c r="M101" s="2"/>
      <c r="N101" s="2"/>
      <c r="O101" s="3"/>
      <c r="P101" s="4"/>
    </row>
    <row r="102" spans="1:16" s="1" customFormat="1" x14ac:dyDescent="0.3">
      <c r="A102" s="2"/>
      <c r="B102" s="2"/>
      <c r="C102" s="2"/>
      <c r="D102" s="2"/>
      <c r="E102" s="2"/>
      <c r="F102" s="2"/>
      <c r="G102"/>
      <c r="H102" s="2"/>
      <c r="I102" s="2"/>
      <c r="J102" s="2"/>
      <c r="K102" s="2"/>
      <c r="L102" s="2"/>
      <c r="M102" s="2"/>
      <c r="N102" s="2"/>
      <c r="O102" s="3"/>
      <c r="P102" s="4"/>
    </row>
    <row r="103" spans="1:16" s="1" customFormat="1" x14ac:dyDescent="0.3">
      <c r="A103" s="2"/>
      <c r="B103" s="2"/>
      <c r="C103" s="2"/>
      <c r="D103" s="2"/>
      <c r="E103" s="2"/>
      <c r="F103" s="2"/>
      <c r="G103"/>
      <c r="H103" s="2"/>
      <c r="I103" s="2"/>
      <c r="J103" s="2"/>
      <c r="K103" s="2"/>
      <c r="L103" s="2"/>
      <c r="M103" s="2"/>
      <c r="N103" s="2"/>
      <c r="O103" s="3"/>
      <c r="P103" s="4"/>
    </row>
    <row r="104" spans="1:16" s="1" customFormat="1" x14ac:dyDescent="0.3">
      <c r="A104"/>
      <c r="B104"/>
      <c r="C104"/>
      <c r="D104"/>
      <c r="E104"/>
      <c r="F104"/>
      <c r="G104"/>
      <c r="H104" s="2"/>
      <c r="I104" s="2"/>
      <c r="J104" s="2"/>
      <c r="K104" s="2"/>
      <c r="L104" s="2"/>
      <c r="M104" s="2"/>
      <c r="N104" s="2"/>
      <c r="O104" s="3"/>
      <c r="P104" s="4"/>
    </row>
    <row r="105" spans="1:16" s="1" customFormat="1" x14ac:dyDescent="0.3">
      <c r="A105"/>
      <c r="B105"/>
      <c r="C105"/>
      <c r="D105"/>
      <c r="E105"/>
      <c r="F105"/>
      <c r="G105"/>
      <c r="H105" s="2"/>
      <c r="I105" s="2"/>
      <c r="J105" s="2"/>
      <c r="K105" s="2"/>
      <c r="L105" s="2"/>
      <c r="M105" s="2"/>
      <c r="N105" s="2"/>
      <c r="O105" s="3"/>
      <c r="P105" s="4"/>
    </row>
    <row r="106" spans="1:16" s="1" customFormat="1" x14ac:dyDescent="0.3">
      <c r="A106"/>
      <c r="B106"/>
      <c r="C106"/>
      <c r="D106"/>
      <c r="E106"/>
      <c r="F106"/>
      <c r="G106"/>
      <c r="H106" s="2"/>
      <c r="I106" s="2"/>
      <c r="J106" s="2"/>
      <c r="K106" s="2"/>
      <c r="L106" s="2"/>
      <c r="M106" s="2"/>
      <c r="N106" s="2"/>
      <c r="O106" s="3"/>
      <c r="P106" s="4"/>
    </row>
    <row r="107" spans="1:16" s="1" customFormat="1" x14ac:dyDescent="0.3">
      <c r="A107"/>
      <c r="B107"/>
      <c r="C107"/>
      <c r="D107"/>
      <c r="E107"/>
      <c r="F107"/>
      <c r="G107"/>
      <c r="H107" s="2"/>
      <c r="I107" s="2"/>
      <c r="J107" s="2"/>
      <c r="K107" s="2"/>
      <c r="L107" s="2"/>
      <c r="M107" s="2"/>
      <c r="N107" s="2"/>
      <c r="O107" s="3"/>
      <c r="P107" s="4"/>
    </row>
    <row r="108" spans="1:16" s="1" customFormat="1" x14ac:dyDescent="0.3">
      <c r="A108"/>
      <c r="B108"/>
      <c r="C108"/>
      <c r="D108"/>
      <c r="E108"/>
      <c r="F108"/>
      <c r="G108"/>
      <c r="H108" s="2"/>
      <c r="I108" s="2"/>
      <c r="J108" s="2"/>
      <c r="K108" s="2"/>
      <c r="L108" s="2"/>
      <c r="M108" s="2"/>
      <c r="N108" s="2"/>
      <c r="O108" s="3"/>
      <c r="P108" s="4"/>
    </row>
    <row r="109" spans="1:16" s="1" customFormat="1" x14ac:dyDescent="0.3">
      <c r="A109"/>
      <c r="B109"/>
      <c r="C109"/>
      <c r="D109"/>
      <c r="E109"/>
      <c r="F109"/>
      <c r="G109"/>
      <c r="H109" s="2"/>
      <c r="I109" s="2"/>
      <c r="J109" s="2"/>
      <c r="K109" s="2"/>
      <c r="L109" s="2"/>
      <c r="M109" s="2"/>
      <c r="N109" s="2"/>
      <c r="O109" s="3"/>
      <c r="P109" s="4"/>
    </row>
    <row r="110" spans="1:16" s="1" customFormat="1" x14ac:dyDescent="0.3">
      <c r="A110"/>
      <c r="B110"/>
      <c r="C110"/>
      <c r="D110"/>
      <c r="E110"/>
      <c r="F110"/>
      <c r="G110"/>
      <c r="H110" s="2"/>
      <c r="I110" s="2"/>
      <c r="J110" s="2"/>
      <c r="K110" s="2"/>
      <c r="L110" s="2"/>
      <c r="M110" s="2"/>
      <c r="N110" s="2"/>
      <c r="O110" s="13"/>
      <c r="P110" s="14"/>
    </row>
    <row r="111" spans="1:16" x14ac:dyDescent="0.3">
      <c r="H111" s="2"/>
      <c r="I111" s="2"/>
      <c r="J111" s="2"/>
      <c r="K111" s="2"/>
      <c r="L111" s="2"/>
      <c r="M111" s="2"/>
      <c r="N111" s="2"/>
    </row>
    <row r="112" spans="1:16" x14ac:dyDescent="0.3">
      <c r="H112" s="2"/>
      <c r="I112" s="2"/>
      <c r="J112" s="2"/>
      <c r="K112" s="2"/>
      <c r="L112" s="2"/>
      <c r="M112" s="2"/>
      <c r="N112" s="2"/>
    </row>
    <row r="113" spans="8:14" x14ac:dyDescent="0.3">
      <c r="H113" s="2"/>
      <c r="I113" s="2"/>
      <c r="J113" s="2"/>
      <c r="K113" s="2"/>
      <c r="L113" s="2"/>
      <c r="M113" s="2"/>
      <c r="N113" s="2"/>
    </row>
    <row r="114" spans="8:14" x14ac:dyDescent="0.3">
      <c r="H114" s="2"/>
      <c r="I114" s="2"/>
      <c r="J114" s="2"/>
      <c r="K114" s="2"/>
      <c r="L114" s="2"/>
      <c r="M114" s="2"/>
      <c r="N114" s="2"/>
    </row>
    <row r="115" spans="8:14" x14ac:dyDescent="0.3">
      <c r="H115" s="2"/>
      <c r="I115" s="2"/>
      <c r="J115" s="2"/>
      <c r="K115" s="2"/>
      <c r="L115" s="2"/>
      <c r="M115" s="2"/>
      <c r="N115" s="2"/>
    </row>
    <row r="116" spans="8:14" x14ac:dyDescent="0.3">
      <c r="H116" s="2"/>
      <c r="I116" s="2"/>
      <c r="J116" s="2"/>
      <c r="K116" s="2"/>
      <c r="L116" s="2"/>
      <c r="M116" s="2"/>
      <c r="N116" s="2"/>
    </row>
    <row r="117" spans="8:14" x14ac:dyDescent="0.3">
      <c r="H117" s="2"/>
      <c r="I117" s="2"/>
      <c r="J117" s="2"/>
      <c r="K117" s="2"/>
      <c r="L117" s="2"/>
      <c r="M117" s="2"/>
      <c r="N117" s="2"/>
    </row>
    <row r="118" spans="8:14" x14ac:dyDescent="0.3">
      <c r="H118" s="2"/>
      <c r="I118" s="2"/>
      <c r="J118" s="2"/>
      <c r="K118" s="2"/>
      <c r="L118" s="2"/>
      <c r="M118" s="2"/>
      <c r="N118" s="2"/>
    </row>
    <row r="119" spans="8:14" x14ac:dyDescent="0.3">
      <c r="H119" s="2"/>
      <c r="I119" s="2"/>
      <c r="J119" s="2"/>
      <c r="K119" s="2"/>
      <c r="L119" s="2"/>
      <c r="M119" s="2"/>
      <c r="N119" s="2"/>
    </row>
    <row r="120" spans="8:14" x14ac:dyDescent="0.3">
      <c r="H120" s="2"/>
      <c r="I120" s="2"/>
      <c r="J120" s="2"/>
      <c r="K120" s="2"/>
      <c r="L120" s="2"/>
      <c r="M120" s="2"/>
      <c r="N120" s="2"/>
    </row>
    <row r="121" spans="8:14" x14ac:dyDescent="0.3">
      <c r="H121" s="2"/>
      <c r="I121" s="2"/>
      <c r="J121" s="2"/>
      <c r="K121" s="2"/>
      <c r="L121" s="2"/>
      <c r="M121" s="2"/>
      <c r="N121" s="2"/>
    </row>
    <row r="122" spans="8:14" x14ac:dyDescent="0.3">
      <c r="H122" s="2"/>
      <c r="I122" s="2"/>
      <c r="J122" s="2"/>
      <c r="K122" s="2"/>
      <c r="L122" s="2"/>
      <c r="M122" s="2"/>
      <c r="N122" s="2"/>
    </row>
    <row r="123" spans="8:14" x14ac:dyDescent="0.3">
      <c r="H123" s="2"/>
      <c r="I123" s="2"/>
      <c r="J123" s="2"/>
      <c r="K123" s="2"/>
      <c r="L123" s="2"/>
      <c r="M123" s="2"/>
      <c r="N123" s="2"/>
    </row>
    <row r="124" spans="8:14" x14ac:dyDescent="0.3">
      <c r="H124" s="2"/>
      <c r="I124" s="2"/>
      <c r="J124" s="2"/>
      <c r="K124" s="2"/>
      <c r="L124" s="2"/>
      <c r="M124" s="2"/>
      <c r="N124" s="2"/>
    </row>
    <row r="125" spans="8:14" x14ac:dyDescent="0.3">
      <c r="H125" s="2"/>
      <c r="I125" s="2"/>
      <c r="J125" s="2"/>
      <c r="K125" s="2"/>
      <c r="L125" s="2"/>
      <c r="M125" s="2"/>
      <c r="N125" s="2"/>
    </row>
    <row r="126" spans="8:14" x14ac:dyDescent="0.3">
      <c r="H126" s="2"/>
      <c r="I126" s="2"/>
      <c r="J126" s="2"/>
      <c r="K126" s="2"/>
      <c r="L126" s="2"/>
      <c r="M126" s="2"/>
      <c r="N126" s="2"/>
    </row>
    <row r="127" spans="8:14" x14ac:dyDescent="0.3">
      <c r="H127" s="2"/>
      <c r="I127" s="2"/>
      <c r="J127" s="2"/>
      <c r="K127" s="2"/>
      <c r="L127" s="2"/>
      <c r="M127" s="2"/>
      <c r="N127" s="2"/>
    </row>
  </sheetData>
  <mergeCells count="1">
    <mergeCell ref="A1:P2"/>
  </mergeCells>
  <conditionalFormatting sqref="C6:M9">
    <cfRule type="cellIs" dxfId="29" priority="1" operator="greaterThan">
      <formula>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25DC3-2681-4B82-903D-39368BA544B1}">
  <dimension ref="A1:V127"/>
  <sheetViews>
    <sheetView topLeftCell="A8" zoomScale="70" zoomScaleNormal="70" workbookViewId="0">
      <selection activeCell="W12" sqref="W12"/>
    </sheetView>
  </sheetViews>
  <sheetFormatPr defaultRowHeight="14.4" x14ac:dyDescent="0.3"/>
  <cols>
    <col min="2" max="2" width="53.5546875" customWidth="1"/>
    <col min="18" max="18" width="1.88671875" customWidth="1"/>
    <col min="19" max="20" width="8.88671875" hidden="1" customWidth="1"/>
    <col min="21" max="22" width="8.88671875" style="1"/>
  </cols>
  <sheetData>
    <row r="1" spans="1:20" x14ac:dyDescent="0.3">
      <c r="A1" s="33" t="s">
        <v>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</row>
    <row r="2" spans="1:20" ht="30.6" customHeight="1" x14ac:dyDescent="0.3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</row>
    <row r="3" spans="1:20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/>
      <c r="T3" s="4"/>
    </row>
    <row r="4" spans="1:20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/>
      <c r="T4" s="4"/>
    </row>
    <row r="5" spans="1:20" ht="15.6" x14ac:dyDescent="0.3">
      <c r="A5" s="2"/>
      <c r="B5" s="2"/>
      <c r="C5" s="5">
        <v>2023</v>
      </c>
      <c r="D5" s="6">
        <v>45292</v>
      </c>
      <c r="E5" s="6">
        <v>45323</v>
      </c>
      <c r="F5" s="6">
        <v>45352</v>
      </c>
      <c r="G5" s="6">
        <v>45383</v>
      </c>
      <c r="H5" s="6">
        <v>45413</v>
      </c>
      <c r="I5" s="6">
        <v>45444</v>
      </c>
      <c r="J5" s="6">
        <v>45474</v>
      </c>
      <c r="K5" s="6">
        <v>45505</v>
      </c>
      <c r="L5" s="6">
        <v>45536</v>
      </c>
      <c r="M5" s="6">
        <v>45566</v>
      </c>
      <c r="N5" s="6">
        <v>45620</v>
      </c>
      <c r="O5" s="6">
        <v>45650</v>
      </c>
      <c r="P5" s="7"/>
      <c r="Q5" s="7"/>
      <c r="R5" s="2"/>
      <c r="S5" s="3"/>
      <c r="T5" s="4"/>
    </row>
    <row r="6" spans="1:20" ht="15.6" x14ac:dyDescent="0.3">
      <c r="A6" s="2"/>
      <c r="B6" s="8" t="s">
        <v>1</v>
      </c>
      <c r="C6" s="9">
        <v>2</v>
      </c>
      <c r="D6" s="9">
        <v>2</v>
      </c>
      <c r="E6" s="9">
        <v>0</v>
      </c>
      <c r="F6" s="9">
        <v>0</v>
      </c>
      <c r="G6" s="9">
        <v>5</v>
      </c>
      <c r="H6" s="9">
        <v>4</v>
      </c>
      <c r="I6" s="9">
        <v>3</v>
      </c>
      <c r="J6" s="9">
        <v>3</v>
      </c>
      <c r="K6" s="9">
        <v>8</v>
      </c>
      <c r="L6" s="9">
        <v>4</v>
      </c>
      <c r="M6" s="9">
        <v>4</v>
      </c>
      <c r="N6" s="9">
        <v>0</v>
      </c>
      <c r="O6" s="9">
        <v>0</v>
      </c>
      <c r="P6" s="10"/>
      <c r="Q6" s="10"/>
      <c r="R6" s="2"/>
      <c r="S6" s="3"/>
      <c r="T6" s="4"/>
    </row>
    <row r="7" spans="1:20" ht="15.6" x14ac:dyDescent="0.3">
      <c r="A7" s="2"/>
      <c r="B7" s="8" t="s">
        <v>2</v>
      </c>
      <c r="C7" s="9">
        <v>22</v>
      </c>
      <c r="D7" s="9">
        <v>22</v>
      </c>
      <c r="E7" s="9">
        <v>27</v>
      </c>
      <c r="F7" s="9">
        <v>27</v>
      </c>
      <c r="G7" s="9">
        <v>23</v>
      </c>
      <c r="H7" s="9">
        <v>23</v>
      </c>
      <c r="I7" s="9">
        <v>23</v>
      </c>
      <c r="J7" s="9">
        <v>23</v>
      </c>
      <c r="K7" s="9">
        <v>14</v>
      </c>
      <c r="L7" s="9">
        <v>14</v>
      </c>
      <c r="M7" s="9">
        <v>14</v>
      </c>
      <c r="N7" s="9">
        <v>14</v>
      </c>
      <c r="O7" s="9">
        <v>14</v>
      </c>
      <c r="P7" s="10"/>
      <c r="Q7" s="10"/>
      <c r="R7" s="2"/>
      <c r="S7" s="3"/>
      <c r="T7" s="4"/>
    </row>
    <row r="8" spans="1:20" ht="15.6" x14ac:dyDescent="0.3">
      <c r="A8" s="2"/>
      <c r="B8" s="8" t="s">
        <v>3</v>
      </c>
      <c r="C8" s="9">
        <v>1</v>
      </c>
      <c r="D8" s="9">
        <v>0</v>
      </c>
      <c r="E8" s="9">
        <v>0</v>
      </c>
      <c r="F8" s="9">
        <v>0</v>
      </c>
      <c r="G8" s="9">
        <v>1</v>
      </c>
      <c r="H8" s="9">
        <v>1</v>
      </c>
      <c r="I8" s="9">
        <v>7</v>
      </c>
      <c r="J8" s="9">
        <v>7</v>
      </c>
      <c r="K8" s="9">
        <v>9</v>
      </c>
      <c r="L8" s="9">
        <v>8</v>
      </c>
      <c r="M8" s="9">
        <v>9</v>
      </c>
      <c r="N8" s="9">
        <v>5</v>
      </c>
      <c r="O8" s="9">
        <v>1</v>
      </c>
      <c r="P8" s="10"/>
      <c r="Q8" s="10"/>
      <c r="R8" s="2"/>
      <c r="S8" s="3"/>
      <c r="T8" s="4"/>
    </row>
    <row r="9" spans="1:20" ht="15.6" x14ac:dyDescent="0.3">
      <c r="A9" s="2"/>
      <c r="B9" s="11" t="s">
        <v>4</v>
      </c>
      <c r="C9" s="9">
        <v>3</v>
      </c>
      <c r="D9" s="9">
        <v>3</v>
      </c>
      <c r="E9" s="9">
        <v>3</v>
      </c>
      <c r="F9" s="9">
        <v>3</v>
      </c>
      <c r="G9" s="9">
        <v>3</v>
      </c>
      <c r="H9" s="9">
        <v>3</v>
      </c>
      <c r="I9" s="9">
        <v>3</v>
      </c>
      <c r="J9" s="9">
        <v>3</v>
      </c>
      <c r="K9" s="9">
        <v>4</v>
      </c>
      <c r="L9" s="9">
        <v>1</v>
      </c>
      <c r="M9" s="9">
        <v>1</v>
      </c>
      <c r="N9" s="9">
        <v>0</v>
      </c>
      <c r="O9" s="9">
        <v>0</v>
      </c>
      <c r="P9" s="10"/>
      <c r="Q9" s="10"/>
      <c r="R9" s="2"/>
      <c r="S9" s="3"/>
      <c r="T9" s="4"/>
    </row>
    <row r="10" spans="1:20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3"/>
      <c r="T10" s="4"/>
    </row>
    <row r="11" spans="1:20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3"/>
      <c r="T11" s="4"/>
    </row>
    <row r="12" spans="1:20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3"/>
      <c r="T12" s="4"/>
    </row>
    <row r="13" spans="1:20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3"/>
      <c r="T13" s="4"/>
    </row>
    <row r="14" spans="1:20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3"/>
      <c r="T14" s="4"/>
    </row>
    <row r="15" spans="1:20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3"/>
      <c r="T15" s="4"/>
    </row>
    <row r="16" spans="1:20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3"/>
      <c r="T16" s="4"/>
    </row>
    <row r="17" spans="1:20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3"/>
      <c r="T17" s="4"/>
    </row>
    <row r="18" spans="1:20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3"/>
      <c r="T18" s="4"/>
    </row>
    <row r="19" spans="1:20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3"/>
      <c r="T19" s="4"/>
    </row>
    <row r="20" spans="1:20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3"/>
      <c r="T20" s="4"/>
    </row>
    <row r="21" spans="1:20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3"/>
      <c r="T21" s="4"/>
    </row>
    <row r="22" spans="1:20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3"/>
      <c r="T22" s="4"/>
    </row>
    <row r="23" spans="1:20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3"/>
      <c r="T23" s="4"/>
    </row>
    <row r="24" spans="1:20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3"/>
      <c r="T24" s="4"/>
    </row>
    <row r="25" spans="1:20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3"/>
      <c r="T25" s="4"/>
    </row>
    <row r="26" spans="1:20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3"/>
      <c r="T26" s="4"/>
    </row>
    <row r="27" spans="1:20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3"/>
      <c r="T27" s="4"/>
    </row>
    <row r="28" spans="1:20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3"/>
      <c r="T28" s="4"/>
    </row>
    <row r="29" spans="1:20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3"/>
      <c r="T29" s="4"/>
    </row>
    <row r="30" spans="1:20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3"/>
      <c r="T30" s="4"/>
    </row>
    <row r="31" spans="1:20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3"/>
      <c r="T31" s="4"/>
    </row>
    <row r="32" spans="1:20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3"/>
      <c r="T32" s="4"/>
    </row>
    <row r="33" spans="1:20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3"/>
      <c r="T33" s="4"/>
    </row>
    <row r="34" spans="1:20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3"/>
      <c r="T34" s="4"/>
    </row>
    <row r="35" spans="1:20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3"/>
      <c r="T35" s="4"/>
    </row>
    <row r="36" spans="1:20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3"/>
      <c r="T36" s="4"/>
    </row>
    <row r="37" spans="1:20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3"/>
      <c r="T37" s="4"/>
    </row>
    <row r="38" spans="1:20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3"/>
      <c r="T38" s="4"/>
    </row>
    <row r="39" spans="1:20" s="1" customForma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3"/>
      <c r="T39" s="4"/>
    </row>
    <row r="40" spans="1:20" s="1" customForma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3"/>
      <c r="T40" s="4"/>
    </row>
    <row r="41" spans="1:20" s="1" customForma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4"/>
    </row>
    <row r="42" spans="1:20" s="1" customForma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4"/>
    </row>
    <row r="43" spans="1:20" s="1" customForma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"/>
      <c r="T43" s="4"/>
    </row>
    <row r="44" spans="1:20" s="1" customForma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"/>
      <c r="T44" s="4"/>
    </row>
    <row r="45" spans="1:20" s="1" customForma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"/>
      <c r="T45" s="4"/>
    </row>
    <row r="46" spans="1:20" s="1" customForma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"/>
      <c r="T46" s="4"/>
    </row>
    <row r="47" spans="1:20" s="1" customForma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3"/>
      <c r="T47" s="4"/>
    </row>
    <row r="48" spans="1:20" s="1" customForma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3"/>
      <c r="T48" s="4"/>
    </row>
    <row r="49" spans="1:20" s="1" customForma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3"/>
      <c r="T49" s="4"/>
    </row>
    <row r="50" spans="1:20" s="1" customForma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3"/>
      <c r="T50" s="4"/>
    </row>
    <row r="51" spans="1:20" s="1" customForma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3"/>
      <c r="T51" s="4"/>
    </row>
    <row r="52" spans="1:20" s="1" customForma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3"/>
      <c r="T52" s="4"/>
    </row>
    <row r="53" spans="1:20" s="1" customForma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3"/>
      <c r="T53" s="4"/>
    </row>
    <row r="54" spans="1:20" s="1" customForma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3"/>
      <c r="T54" s="4"/>
    </row>
    <row r="55" spans="1:20" s="1" customForma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3"/>
      <c r="T55" s="4"/>
    </row>
    <row r="56" spans="1:20" s="1" customForma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3"/>
      <c r="T56" s="4"/>
    </row>
    <row r="57" spans="1:20" s="1" customForma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3"/>
      <c r="T57" s="4"/>
    </row>
    <row r="58" spans="1:20" s="1" customForma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3"/>
      <c r="T58" s="4"/>
    </row>
    <row r="59" spans="1:20" s="1" customForma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3"/>
      <c r="T59" s="4"/>
    </row>
    <row r="60" spans="1:20" s="1" customForma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3"/>
      <c r="T60" s="4"/>
    </row>
    <row r="61" spans="1:20" s="1" customForma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3"/>
      <c r="T61" s="4"/>
    </row>
    <row r="62" spans="1:20" s="1" customForma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3"/>
      <c r="T62" s="4"/>
    </row>
    <row r="63" spans="1:20" s="1" customForma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3"/>
      <c r="T63" s="4"/>
    </row>
    <row r="64" spans="1:20" s="1" customForma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3"/>
      <c r="T64" s="4"/>
    </row>
    <row r="65" spans="1:20" s="1" customForma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3"/>
      <c r="T65" s="4"/>
    </row>
    <row r="66" spans="1:20" s="1" customForma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3"/>
      <c r="T66" s="4"/>
    </row>
    <row r="67" spans="1:20" s="1" customForma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3"/>
      <c r="T67" s="4"/>
    </row>
    <row r="68" spans="1:20" s="1" customForma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3"/>
      <c r="T68" s="4"/>
    </row>
    <row r="69" spans="1:20" s="1" customForma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3"/>
      <c r="T69" s="4"/>
    </row>
    <row r="70" spans="1:20" s="1" customForma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3"/>
      <c r="T70" s="4"/>
    </row>
    <row r="71" spans="1:20" s="1" customForma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3"/>
      <c r="T71" s="4"/>
    </row>
    <row r="72" spans="1:20" s="1" customForma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3"/>
      <c r="T72" s="4"/>
    </row>
    <row r="73" spans="1:20" s="1" customForma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3"/>
      <c r="T73" s="4"/>
    </row>
    <row r="74" spans="1:20" s="1" customForma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3"/>
      <c r="T74" s="4"/>
    </row>
    <row r="75" spans="1:20" s="1" customForma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3"/>
      <c r="T75" s="4"/>
    </row>
    <row r="76" spans="1:20" s="1" customForma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3"/>
      <c r="T76" s="4"/>
    </row>
    <row r="77" spans="1:20" s="1" customForma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3"/>
      <c r="T77" s="4"/>
    </row>
    <row r="78" spans="1:20" s="1" customForma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3"/>
      <c r="T78" s="4"/>
    </row>
    <row r="79" spans="1:20" s="1" customForma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3"/>
      <c r="T79" s="4"/>
    </row>
    <row r="80" spans="1:20" s="1" customForma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3"/>
      <c r="T80" s="4"/>
    </row>
    <row r="81" spans="1:20" s="1" customForma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3"/>
      <c r="T81" s="4"/>
    </row>
    <row r="82" spans="1:20" s="1" customForma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3"/>
      <c r="T82" s="4"/>
    </row>
    <row r="83" spans="1:20" s="1" customForma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3"/>
      <c r="T83" s="4"/>
    </row>
    <row r="84" spans="1:20" s="1" customForma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3"/>
      <c r="T84" s="4"/>
    </row>
    <row r="85" spans="1:20" s="1" customForma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3"/>
      <c r="T85" s="4"/>
    </row>
    <row r="86" spans="1:20" s="1" customForma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3"/>
      <c r="T86" s="4"/>
    </row>
    <row r="87" spans="1:20" s="1" customForma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3"/>
      <c r="T87" s="4"/>
    </row>
    <row r="88" spans="1:20" s="1" customForma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3"/>
      <c r="T88" s="4"/>
    </row>
    <row r="89" spans="1:20" s="1" customForma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3"/>
      <c r="T89" s="4"/>
    </row>
    <row r="90" spans="1:20" s="1" customForma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3"/>
      <c r="T90" s="4"/>
    </row>
    <row r="91" spans="1:20" s="1" customForma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3"/>
      <c r="T91" s="4"/>
    </row>
    <row r="92" spans="1:20" s="1" customForma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3"/>
      <c r="T92" s="4"/>
    </row>
    <row r="93" spans="1:20" s="1" customForma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3"/>
      <c r="T93" s="4"/>
    </row>
    <row r="94" spans="1:20" s="1" customForma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3"/>
      <c r="T94" s="4"/>
    </row>
    <row r="95" spans="1:20" s="1" customForma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3"/>
      <c r="T95" s="4"/>
    </row>
    <row r="96" spans="1:20" s="1" customForma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3"/>
      <c r="T96" s="4"/>
    </row>
    <row r="97" spans="1:20" s="1" customForma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3"/>
      <c r="T97" s="4"/>
    </row>
    <row r="98" spans="1:20" s="1" customForma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3"/>
      <c r="T98" s="4"/>
    </row>
    <row r="99" spans="1:20" s="1" customForma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3"/>
      <c r="T99" s="4"/>
    </row>
    <row r="100" spans="1:20" s="1" customForma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3"/>
      <c r="T100" s="4"/>
    </row>
    <row r="101" spans="1:20" s="1" customForma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3"/>
      <c r="T101" s="4"/>
    </row>
    <row r="102" spans="1:20" s="1" customForma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3"/>
      <c r="T102" s="4"/>
    </row>
    <row r="103" spans="1:20" s="1" customForma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3"/>
      <c r="T103" s="4"/>
    </row>
    <row r="104" spans="1:20" s="1" customForma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3"/>
      <c r="T104" s="4"/>
    </row>
    <row r="105" spans="1:20" s="1" customForma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3"/>
      <c r="T105" s="4"/>
    </row>
    <row r="106" spans="1:20" s="1" customForma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3"/>
      <c r="T106" s="4"/>
    </row>
    <row r="107" spans="1:20" s="1" customForma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3"/>
      <c r="T107" s="4"/>
    </row>
    <row r="108" spans="1:20" s="1" customForma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3"/>
      <c r="T108" s="4"/>
    </row>
    <row r="109" spans="1:20" s="1" customForma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3"/>
      <c r="T109" s="4"/>
    </row>
    <row r="110" spans="1:20" s="1" customForma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13"/>
      <c r="T110" s="14"/>
    </row>
    <row r="111" spans="1:20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20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1:18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1:18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8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spans="1:18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1:18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spans="1:18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</sheetData>
  <mergeCells count="1">
    <mergeCell ref="A1:T2"/>
  </mergeCells>
  <conditionalFormatting sqref="C6:Q9">
    <cfRule type="cellIs" dxfId="28" priority="1" operator="greaterThan">
      <formula>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CBCA1-5C7A-43E0-9B99-7982FEA62FD9}">
  <dimension ref="A1:AP131"/>
  <sheetViews>
    <sheetView topLeftCell="A24" zoomScale="55" zoomScaleNormal="55" workbookViewId="0">
      <selection activeCell="C10" sqref="C10:F13"/>
    </sheetView>
  </sheetViews>
  <sheetFormatPr defaultRowHeight="14.4" x14ac:dyDescent="0.3"/>
  <cols>
    <col min="2" max="2" width="53.5546875" customWidth="1"/>
    <col min="17" max="17" width="1.88671875" customWidth="1"/>
    <col min="18" max="19" width="8.88671875" hidden="1" customWidth="1"/>
    <col min="20" max="21" width="8.88671875" style="1"/>
  </cols>
  <sheetData>
    <row r="1" spans="1:42" x14ac:dyDescent="0.3">
      <c r="A1" s="33" t="s">
        <v>44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42" ht="30.6" customHeight="1" x14ac:dyDescent="0.3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42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4"/>
    </row>
    <row r="4" spans="1:42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/>
      <c r="S4" s="4"/>
    </row>
    <row r="5" spans="1:42" ht="15.6" x14ac:dyDescent="0.3">
      <c r="A5" s="2"/>
      <c r="B5" s="2"/>
      <c r="C5" s="6" t="s">
        <v>53</v>
      </c>
      <c r="D5" s="6" t="s">
        <v>54</v>
      </c>
      <c r="E5" s="6" t="s">
        <v>52</v>
      </c>
      <c r="F5" s="6" t="s">
        <v>55</v>
      </c>
      <c r="G5" s="6" t="s">
        <v>57</v>
      </c>
      <c r="H5" s="6"/>
      <c r="I5" s="6"/>
      <c r="J5" s="6"/>
      <c r="K5" s="6"/>
      <c r="L5" s="6"/>
      <c r="M5" s="6"/>
      <c r="N5" s="6"/>
      <c r="O5" s="7"/>
      <c r="P5" s="7"/>
      <c r="Q5" s="2"/>
      <c r="R5" s="3"/>
      <c r="S5" s="4"/>
    </row>
    <row r="6" spans="1:42" s="1" customFormat="1" ht="15.6" x14ac:dyDescent="0.3">
      <c r="A6" s="34" t="s">
        <v>41</v>
      </c>
      <c r="B6" s="8"/>
      <c r="C6" s="9">
        <v>0.02</v>
      </c>
      <c r="D6" s="9">
        <v>0.02</v>
      </c>
      <c r="E6" s="9">
        <v>0.02</v>
      </c>
      <c r="F6" s="9">
        <v>0.02</v>
      </c>
      <c r="G6" s="9">
        <v>0.02</v>
      </c>
      <c r="H6" s="9"/>
      <c r="I6" s="9"/>
      <c r="J6" s="9"/>
      <c r="K6" s="9"/>
      <c r="L6" s="9"/>
      <c r="M6" s="9"/>
      <c r="N6" s="9"/>
      <c r="O6" s="17" t="s">
        <v>31</v>
      </c>
      <c r="P6" s="10"/>
      <c r="Q6" s="2"/>
      <c r="R6" s="3"/>
      <c r="S6" s="4"/>
    </row>
    <row r="7" spans="1:42" s="1" customFormat="1" ht="15.6" x14ac:dyDescent="0.3">
      <c r="A7" s="34"/>
      <c r="B7" s="8"/>
      <c r="C7" s="9">
        <v>0.3</v>
      </c>
      <c r="D7" s="9">
        <v>0.3</v>
      </c>
      <c r="E7" s="9">
        <v>0.3</v>
      </c>
      <c r="F7" s="9">
        <v>0.3</v>
      </c>
      <c r="G7" s="9">
        <v>0.3</v>
      </c>
      <c r="H7" s="9"/>
      <c r="I7" s="9"/>
      <c r="J7" s="9"/>
      <c r="K7" s="9"/>
      <c r="L7" s="9"/>
      <c r="M7" s="9"/>
      <c r="N7" s="9"/>
      <c r="O7" s="17" t="s">
        <v>32</v>
      </c>
      <c r="P7" s="10"/>
      <c r="Q7" s="2"/>
      <c r="R7" s="3"/>
      <c r="S7" s="4"/>
    </row>
    <row r="8" spans="1:42" s="1" customFormat="1" ht="15.6" x14ac:dyDescent="0.3">
      <c r="A8" s="34"/>
      <c r="B8" s="8"/>
      <c r="C8" s="9">
        <v>0.1</v>
      </c>
      <c r="D8" s="9">
        <v>0.1</v>
      </c>
      <c r="E8" s="9">
        <v>0.1</v>
      </c>
      <c r="F8" s="9">
        <v>0.1</v>
      </c>
      <c r="G8" s="9">
        <v>0.1</v>
      </c>
      <c r="H8" s="9"/>
      <c r="I8" s="9"/>
      <c r="J8" s="9"/>
      <c r="K8" s="9"/>
      <c r="L8" s="9"/>
      <c r="M8" s="9"/>
      <c r="N8" s="9"/>
      <c r="O8" s="17" t="s">
        <v>3</v>
      </c>
      <c r="P8" s="10"/>
      <c r="Q8" s="2"/>
      <c r="R8" s="3"/>
      <c r="S8" s="4"/>
    </row>
    <row r="9" spans="1:42" s="1" customFormat="1" ht="15.6" x14ac:dyDescent="0.3">
      <c r="A9" s="34"/>
      <c r="B9" s="11"/>
      <c r="C9" s="9">
        <v>0.01</v>
      </c>
      <c r="D9" s="9">
        <v>0.01</v>
      </c>
      <c r="E9" s="9">
        <v>0.01</v>
      </c>
      <c r="F9" s="9">
        <v>0.01</v>
      </c>
      <c r="G9" s="9">
        <v>0.01</v>
      </c>
      <c r="H9" s="9"/>
      <c r="I9" s="9"/>
      <c r="J9" s="9"/>
      <c r="K9" s="9"/>
      <c r="L9" s="9"/>
      <c r="M9" s="9"/>
      <c r="N9" s="9"/>
      <c r="O9" s="17" t="s">
        <v>33</v>
      </c>
      <c r="P9" s="10"/>
      <c r="Q9" s="2"/>
      <c r="R9" s="3"/>
      <c r="S9" s="4"/>
    </row>
    <row r="10" spans="1:42" s="1" customFormat="1" ht="15.6" x14ac:dyDescent="0.3">
      <c r="A10" s="34" t="s">
        <v>42</v>
      </c>
      <c r="B10" s="8"/>
      <c r="C10" s="9">
        <v>0.01</v>
      </c>
      <c r="D10" s="9">
        <v>0.01</v>
      </c>
      <c r="E10" s="9">
        <v>0.01</v>
      </c>
      <c r="F10" s="9">
        <v>0.01</v>
      </c>
      <c r="G10" s="9"/>
      <c r="H10" s="9"/>
      <c r="I10" s="9"/>
      <c r="J10" s="9"/>
      <c r="K10" s="9"/>
      <c r="L10" s="9"/>
      <c r="M10" s="9"/>
      <c r="N10" s="9"/>
      <c r="O10" s="17" t="s">
        <v>31</v>
      </c>
      <c r="P10" s="10"/>
      <c r="Q10" s="2"/>
      <c r="R10" s="3"/>
      <c r="S10" s="4"/>
    </row>
    <row r="11" spans="1:42" s="1" customFormat="1" ht="15.6" x14ac:dyDescent="0.3">
      <c r="A11" s="34"/>
      <c r="B11" s="8"/>
      <c r="C11" s="9">
        <v>14</v>
      </c>
      <c r="D11" s="9">
        <v>3</v>
      </c>
      <c r="E11" s="9">
        <v>4</v>
      </c>
      <c r="F11" s="9">
        <v>4</v>
      </c>
      <c r="G11" s="9"/>
      <c r="H11" s="9"/>
      <c r="I11" s="9"/>
      <c r="J11" s="9"/>
      <c r="K11" s="9"/>
      <c r="L11" s="9"/>
      <c r="M11" s="9"/>
      <c r="N11" s="9"/>
      <c r="O11" s="17" t="s">
        <v>32</v>
      </c>
      <c r="P11" s="10"/>
      <c r="Q11" s="2"/>
      <c r="R11" s="3"/>
      <c r="S11" s="4"/>
    </row>
    <row r="12" spans="1:42" s="1" customFormat="1" ht="15.6" x14ac:dyDescent="0.3">
      <c r="A12" s="34"/>
      <c r="B12" s="8"/>
      <c r="C12" s="9">
        <v>5</v>
      </c>
      <c r="D12" s="9">
        <v>2</v>
      </c>
      <c r="E12" s="9">
        <v>3</v>
      </c>
      <c r="F12" s="9">
        <v>3</v>
      </c>
      <c r="G12" s="9"/>
      <c r="H12" s="9"/>
      <c r="I12" s="9"/>
      <c r="J12" s="9"/>
      <c r="K12" s="9"/>
      <c r="L12" s="9"/>
      <c r="M12" s="9"/>
      <c r="N12" s="9"/>
      <c r="O12" s="17" t="s">
        <v>3</v>
      </c>
      <c r="P12" s="10"/>
      <c r="Q12" s="2"/>
      <c r="R12" s="3"/>
      <c r="S12" s="4"/>
    </row>
    <row r="13" spans="1:42" s="1" customFormat="1" ht="15.6" x14ac:dyDescent="0.3">
      <c r="A13" s="34"/>
      <c r="B13" s="11"/>
      <c r="C13" s="9">
        <v>0.01</v>
      </c>
      <c r="D13" s="9">
        <v>0.01</v>
      </c>
      <c r="E13" s="9">
        <v>0.01</v>
      </c>
      <c r="F13" s="9">
        <v>0.01</v>
      </c>
      <c r="G13" s="9"/>
      <c r="H13" s="9"/>
      <c r="I13" s="9"/>
      <c r="J13" s="9"/>
      <c r="K13" s="9"/>
      <c r="L13" s="9"/>
      <c r="M13" s="9"/>
      <c r="N13" s="9"/>
      <c r="O13" s="17" t="s">
        <v>33</v>
      </c>
      <c r="P13" s="10"/>
      <c r="Q13" s="2"/>
      <c r="R13" s="3"/>
      <c r="S13" s="4"/>
    </row>
    <row r="14" spans="1:42" s="1" customForma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3"/>
      <c r="S14" s="4"/>
    </row>
    <row r="15" spans="1:42" s="1" customForma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3"/>
      <c r="S15" s="4"/>
    </row>
    <row r="16" spans="1:42" s="1" customFormat="1" ht="33.6" x14ac:dyDescent="0.6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3"/>
      <c r="S16" s="4"/>
      <c r="AP16" s="20" t="s">
        <v>46</v>
      </c>
    </row>
    <row r="17" spans="1:19" s="1" customForma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3"/>
      <c r="S17" s="4"/>
    </row>
    <row r="18" spans="1:19" s="1" customForma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3"/>
      <c r="S18" s="4"/>
    </row>
    <row r="19" spans="1:19" s="1" customForma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3"/>
      <c r="S19" s="4"/>
    </row>
    <row r="20" spans="1:19" s="1" customForma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3"/>
      <c r="S20" s="4"/>
    </row>
    <row r="21" spans="1:19" s="1" customForma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3"/>
      <c r="S21" s="4"/>
    </row>
    <row r="22" spans="1:19" s="1" customForma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3"/>
      <c r="S22" s="4"/>
    </row>
    <row r="23" spans="1:19" s="1" customForma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3"/>
      <c r="S23" s="4"/>
    </row>
    <row r="24" spans="1:19" s="1" customForma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3"/>
      <c r="S24" s="4"/>
    </row>
    <row r="25" spans="1:19" s="1" customForma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3"/>
      <c r="S25" s="4"/>
    </row>
    <row r="26" spans="1:19" s="1" customForma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3"/>
      <c r="S26" s="4"/>
    </row>
    <row r="27" spans="1:19" s="1" customForma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3"/>
      <c r="S27" s="4"/>
    </row>
    <row r="28" spans="1:19" s="1" customForma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3"/>
      <c r="S28" s="4"/>
    </row>
    <row r="29" spans="1:19" s="1" customForma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3"/>
      <c r="S29" s="4"/>
    </row>
    <row r="30" spans="1:19" s="1" customForma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3"/>
      <c r="S30" s="4"/>
    </row>
    <row r="31" spans="1:19" s="1" customForma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3"/>
      <c r="S31" s="4"/>
    </row>
    <row r="32" spans="1:19" s="1" customForma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3"/>
      <c r="S32" s="4"/>
    </row>
    <row r="33" spans="1:19" s="1" customForma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3"/>
      <c r="S33" s="4"/>
    </row>
    <row r="34" spans="1:19" s="1" customForma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3"/>
      <c r="S34" s="4"/>
    </row>
    <row r="35" spans="1:19" s="1" customForma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3"/>
      <c r="S35" s="4"/>
    </row>
    <row r="36" spans="1:19" s="1" customForma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3"/>
      <c r="S36" s="4"/>
    </row>
    <row r="37" spans="1:19" s="1" customForma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3"/>
      <c r="S37" s="4"/>
    </row>
    <row r="38" spans="1:19" s="1" customForma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3"/>
      <c r="S38" s="4"/>
    </row>
    <row r="39" spans="1:19" s="1" customForma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3"/>
      <c r="S39" s="4"/>
    </row>
    <row r="40" spans="1:19" s="1" customForma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3"/>
      <c r="S40" s="4"/>
    </row>
    <row r="41" spans="1:19" s="1" customForma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3"/>
      <c r="S41" s="4"/>
    </row>
    <row r="42" spans="1:19" s="1" customForma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3"/>
      <c r="S42" s="4"/>
    </row>
    <row r="43" spans="1:19" s="1" customForma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3"/>
      <c r="S43" s="4"/>
    </row>
    <row r="44" spans="1:19" s="1" customForma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3"/>
      <c r="S44" s="4"/>
    </row>
    <row r="45" spans="1:19" s="1" customForma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3"/>
      <c r="S45" s="4"/>
    </row>
    <row r="46" spans="1:19" s="1" customForma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3"/>
      <c r="S46" s="4"/>
    </row>
    <row r="47" spans="1:19" s="1" customForma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3"/>
      <c r="S47" s="4"/>
    </row>
    <row r="48" spans="1:19" s="1" customForma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3"/>
      <c r="S48" s="4"/>
    </row>
    <row r="49" spans="1:19" s="1" customForma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3"/>
      <c r="S49" s="4"/>
    </row>
    <row r="50" spans="1:19" s="1" customForma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3"/>
      <c r="S50" s="4"/>
    </row>
    <row r="51" spans="1:19" s="1" customForma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3"/>
      <c r="S51" s="4"/>
    </row>
    <row r="52" spans="1:19" s="1" customForma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3"/>
      <c r="S52" s="4"/>
    </row>
    <row r="53" spans="1:19" s="1" customForma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3"/>
      <c r="S53" s="4"/>
    </row>
    <row r="54" spans="1:19" s="1" customForma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3"/>
      <c r="S54" s="4"/>
    </row>
    <row r="55" spans="1:19" s="1" customForma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3"/>
      <c r="S55" s="4"/>
    </row>
    <row r="56" spans="1:19" s="1" customForma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3"/>
      <c r="S56" s="4"/>
    </row>
    <row r="57" spans="1:19" s="1" customForma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3"/>
      <c r="S57" s="4"/>
    </row>
    <row r="58" spans="1:19" s="1" customForma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3"/>
      <c r="S58" s="4"/>
    </row>
    <row r="59" spans="1:19" s="1" customForma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3"/>
      <c r="S59" s="4"/>
    </row>
    <row r="60" spans="1:19" s="1" customForma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3"/>
      <c r="S60" s="4"/>
    </row>
    <row r="61" spans="1:19" s="1" customForma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3"/>
      <c r="S61" s="4"/>
    </row>
    <row r="62" spans="1:19" s="1" customForma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3"/>
      <c r="S62" s="4"/>
    </row>
    <row r="63" spans="1:19" s="1" customForma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3"/>
      <c r="S63" s="4"/>
    </row>
    <row r="64" spans="1:19" s="1" customForma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3"/>
      <c r="S64" s="4"/>
    </row>
    <row r="65" spans="1:19" s="1" customForma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3"/>
      <c r="S65" s="4"/>
    </row>
    <row r="66" spans="1:19" s="1" customForma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3"/>
      <c r="S66" s="4"/>
    </row>
    <row r="67" spans="1:19" s="1" customForma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3"/>
      <c r="S67" s="4"/>
    </row>
    <row r="68" spans="1:19" s="1" customForma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3"/>
      <c r="S68" s="4"/>
    </row>
    <row r="69" spans="1:19" s="1" customForma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3"/>
      <c r="S69" s="4"/>
    </row>
    <row r="70" spans="1:19" s="1" customForma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3"/>
      <c r="S70" s="4"/>
    </row>
    <row r="71" spans="1:19" s="1" customForma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3"/>
      <c r="S71" s="4"/>
    </row>
    <row r="72" spans="1:19" s="1" customForma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3"/>
      <c r="S72" s="4"/>
    </row>
    <row r="73" spans="1:19" s="1" customForma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3"/>
      <c r="S73" s="4"/>
    </row>
    <row r="74" spans="1:19" s="1" customForma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3"/>
      <c r="S74" s="4"/>
    </row>
    <row r="75" spans="1:19" s="1" customForma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3"/>
      <c r="S75" s="4"/>
    </row>
    <row r="76" spans="1:19" s="1" customForma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3"/>
      <c r="S76" s="4"/>
    </row>
    <row r="77" spans="1:19" s="1" customForma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3"/>
      <c r="S77" s="4"/>
    </row>
    <row r="78" spans="1:19" s="1" customForma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3"/>
      <c r="S78" s="4"/>
    </row>
    <row r="79" spans="1:19" s="1" customForma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3"/>
      <c r="S79" s="4"/>
    </row>
    <row r="80" spans="1:19" s="1" customForma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3"/>
      <c r="S80" s="4"/>
    </row>
    <row r="81" spans="1:19" s="1" customForma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3"/>
      <c r="S81" s="4"/>
    </row>
    <row r="82" spans="1:19" s="1" customForma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3"/>
      <c r="S82" s="4"/>
    </row>
    <row r="83" spans="1:19" s="1" customForma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3"/>
      <c r="S83" s="4"/>
    </row>
    <row r="84" spans="1:19" s="1" customForma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3"/>
      <c r="S84" s="4"/>
    </row>
    <row r="85" spans="1:19" s="1" customForma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3"/>
      <c r="S85" s="4"/>
    </row>
    <row r="86" spans="1:19" s="1" customForma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3"/>
      <c r="S86" s="4"/>
    </row>
    <row r="87" spans="1:19" s="1" customForma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3"/>
      <c r="S87" s="4"/>
    </row>
    <row r="88" spans="1:19" s="1" customForma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3"/>
      <c r="S88" s="4"/>
    </row>
    <row r="89" spans="1:19" s="1" customForma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3"/>
      <c r="S89" s="4"/>
    </row>
    <row r="90" spans="1:19" s="1" customForma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3"/>
      <c r="S90" s="4"/>
    </row>
    <row r="91" spans="1:19" s="1" customForma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3"/>
      <c r="S91" s="4"/>
    </row>
    <row r="92" spans="1:19" s="1" customForma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3"/>
      <c r="S92" s="4"/>
    </row>
    <row r="93" spans="1:19" s="1" customForma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3"/>
      <c r="S93" s="4"/>
    </row>
    <row r="94" spans="1:19" s="1" customForma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3"/>
      <c r="S94" s="4"/>
    </row>
    <row r="95" spans="1:19" s="1" customForma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3"/>
      <c r="S95" s="4"/>
    </row>
    <row r="96" spans="1:19" s="1" customForma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3"/>
      <c r="S96" s="4"/>
    </row>
    <row r="97" spans="1:19" s="1" customForma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3"/>
      <c r="S97" s="4"/>
    </row>
    <row r="98" spans="1:19" s="1" customForma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3"/>
      <c r="S98" s="4"/>
    </row>
    <row r="99" spans="1:19" s="1" customForma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3"/>
      <c r="S99" s="4"/>
    </row>
    <row r="100" spans="1:19" s="1" customForma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3"/>
      <c r="S100" s="4"/>
    </row>
    <row r="101" spans="1:19" s="1" customForma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3"/>
      <c r="S101" s="4"/>
    </row>
    <row r="102" spans="1:19" s="1" customForma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3"/>
      <c r="S102" s="4"/>
    </row>
    <row r="103" spans="1:19" s="1" customForma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3"/>
      <c r="S103" s="4"/>
    </row>
    <row r="104" spans="1:19" s="1" customForma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3"/>
      <c r="S104" s="4"/>
    </row>
    <row r="105" spans="1:19" s="1" customForma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3"/>
      <c r="S105" s="4"/>
    </row>
    <row r="106" spans="1:19" s="1" customForma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3"/>
      <c r="S106" s="4"/>
    </row>
    <row r="107" spans="1:19" s="1" customForma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3"/>
      <c r="S107" s="4"/>
    </row>
    <row r="108" spans="1:19" s="1" customForma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3"/>
      <c r="S108" s="4"/>
    </row>
    <row r="109" spans="1:19" s="1" customForma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3"/>
      <c r="S109" s="4"/>
    </row>
    <row r="110" spans="1:19" s="1" customForma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3"/>
      <c r="S110" s="4"/>
    </row>
    <row r="111" spans="1:19" s="1" customForma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3"/>
      <c r="S111" s="4"/>
    </row>
    <row r="112" spans="1:19" s="1" customForma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3"/>
      <c r="S112" s="4"/>
    </row>
    <row r="113" spans="1:19" s="1" customForma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3"/>
      <c r="S113" s="4"/>
    </row>
    <row r="114" spans="1:19" s="1" customForma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13"/>
      <c r="S114" s="14"/>
    </row>
    <row r="115" spans="1:19" s="1" customForma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/>
      <c r="S115"/>
    </row>
    <row r="116" spans="1:19" s="1" customForma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/>
      <c r="S116"/>
    </row>
    <row r="117" spans="1:19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9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9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9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1:19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1:19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9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1:19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9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9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9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9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</sheetData>
  <mergeCells count="3">
    <mergeCell ref="A1:S2"/>
    <mergeCell ref="A6:A9"/>
    <mergeCell ref="A10:A13"/>
  </mergeCells>
  <phoneticPr fontId="6" type="noConversion"/>
  <conditionalFormatting sqref="C6:P13">
    <cfRule type="cellIs" dxfId="27" priority="1" operator="greaterThan">
      <formula>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FAA5B-2326-4D5D-8929-42E218C87717}">
  <dimension ref="A1:AH131"/>
  <sheetViews>
    <sheetView topLeftCell="A79" zoomScale="55" zoomScaleNormal="55" workbookViewId="0">
      <selection activeCell="C10" sqref="C10:F13"/>
    </sheetView>
  </sheetViews>
  <sheetFormatPr defaultRowHeight="14.4" x14ac:dyDescent="0.3"/>
  <cols>
    <col min="2" max="2" width="53.5546875" customWidth="1"/>
    <col min="17" max="17" width="1.88671875" customWidth="1"/>
    <col min="18" max="19" width="8.88671875" hidden="1" customWidth="1"/>
    <col min="20" max="21" width="8.88671875" style="1"/>
  </cols>
  <sheetData>
    <row r="1" spans="1:34" x14ac:dyDescent="0.3">
      <c r="A1" s="33" t="s">
        <v>43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34" ht="30.6" customHeight="1" x14ac:dyDescent="0.3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3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4"/>
    </row>
    <row r="4" spans="1:34" x14ac:dyDescent="0.3">
      <c r="A4" s="2"/>
      <c r="B4" s="2"/>
      <c r="C4" s="2"/>
      <c r="D4" s="2"/>
      <c r="E4" s="2"/>
      <c r="F4" s="2" t="s">
        <v>42</v>
      </c>
      <c r="G4" s="2" t="s">
        <v>41</v>
      </c>
      <c r="H4" s="2"/>
      <c r="I4" s="2"/>
      <c r="J4" s="2"/>
      <c r="K4" s="2"/>
      <c r="L4" s="2"/>
      <c r="M4" s="2"/>
      <c r="N4" s="2"/>
      <c r="O4" s="2"/>
      <c r="P4" s="2"/>
      <c r="Q4" s="2"/>
      <c r="R4" s="3"/>
      <c r="S4" s="4"/>
    </row>
    <row r="5" spans="1:34" ht="15.6" x14ac:dyDescent="0.3">
      <c r="A5" s="2"/>
      <c r="B5" s="2"/>
      <c r="C5" s="6" t="s">
        <v>53</v>
      </c>
      <c r="D5" s="6" t="s">
        <v>54</v>
      </c>
      <c r="E5" s="6" t="s">
        <v>52</v>
      </c>
      <c r="F5" s="6" t="s">
        <v>55</v>
      </c>
      <c r="G5" s="6" t="s">
        <v>57</v>
      </c>
      <c r="H5" s="6"/>
      <c r="I5" s="6"/>
      <c r="J5" s="6"/>
      <c r="K5" s="6"/>
      <c r="L5" s="6"/>
      <c r="M5" s="6"/>
      <c r="N5" s="6"/>
      <c r="O5" s="7"/>
      <c r="P5" s="7"/>
      <c r="Q5" s="2"/>
      <c r="R5" s="3"/>
      <c r="S5" s="4"/>
    </row>
    <row r="6" spans="1:34" s="1" customFormat="1" ht="15.6" x14ac:dyDescent="0.3">
      <c r="A6" s="34" t="s">
        <v>41</v>
      </c>
      <c r="B6" s="8"/>
      <c r="C6" s="9">
        <v>1</v>
      </c>
      <c r="D6" s="9">
        <v>0.16</v>
      </c>
      <c r="E6" s="9">
        <v>0.16</v>
      </c>
      <c r="F6" s="9">
        <v>0.16</v>
      </c>
      <c r="G6" s="9">
        <v>0.16</v>
      </c>
      <c r="H6" s="9"/>
      <c r="I6" s="9"/>
      <c r="J6" s="9"/>
      <c r="K6" s="9"/>
      <c r="L6" s="9"/>
      <c r="M6" s="9"/>
      <c r="N6" s="9"/>
      <c r="O6" s="17" t="s">
        <v>31</v>
      </c>
      <c r="P6" s="10"/>
      <c r="Q6" s="2"/>
      <c r="R6" s="3"/>
      <c r="S6" s="4"/>
    </row>
    <row r="7" spans="1:34" s="1" customFormat="1" ht="15.6" x14ac:dyDescent="0.3">
      <c r="A7" s="34"/>
      <c r="B7" s="8"/>
      <c r="C7" s="9">
        <v>8</v>
      </c>
      <c r="D7" s="9">
        <v>0.2</v>
      </c>
      <c r="E7" s="9">
        <v>0.2</v>
      </c>
      <c r="F7" s="9">
        <v>0.2</v>
      </c>
      <c r="G7" s="9">
        <v>0.2</v>
      </c>
      <c r="H7" s="9"/>
      <c r="I7" s="9"/>
      <c r="J7" s="9"/>
      <c r="K7" s="9"/>
      <c r="L7" s="9"/>
      <c r="M7" s="9"/>
      <c r="N7" s="9"/>
      <c r="O7" s="17" t="s">
        <v>32</v>
      </c>
      <c r="P7" s="10"/>
      <c r="Q7" s="2"/>
      <c r="R7" s="3"/>
      <c r="S7" s="4"/>
    </row>
    <row r="8" spans="1:34" s="1" customFormat="1" ht="15.6" x14ac:dyDescent="0.3">
      <c r="A8" s="34"/>
      <c r="B8" s="8"/>
      <c r="C8" s="9">
        <v>0.05</v>
      </c>
      <c r="D8" s="9">
        <v>0.05</v>
      </c>
      <c r="E8" s="9">
        <v>0.05</v>
      </c>
      <c r="F8" s="9">
        <v>0.05</v>
      </c>
      <c r="G8" s="9">
        <v>0.05</v>
      </c>
      <c r="H8" s="9"/>
      <c r="I8" s="9"/>
      <c r="J8" s="9"/>
      <c r="K8" s="9"/>
      <c r="L8" s="9"/>
      <c r="M8" s="9"/>
      <c r="N8" s="9"/>
      <c r="O8" s="17" t="s">
        <v>3</v>
      </c>
      <c r="P8" s="10"/>
      <c r="Q8" s="2"/>
      <c r="R8" s="3"/>
      <c r="S8" s="4"/>
    </row>
    <row r="9" spans="1:34" s="1" customFormat="1" ht="15.6" x14ac:dyDescent="0.3">
      <c r="A9" s="34"/>
      <c r="B9" s="11"/>
      <c r="C9" s="9">
        <v>2</v>
      </c>
      <c r="D9" s="9">
        <v>0.12</v>
      </c>
      <c r="E9" s="9">
        <v>0.12</v>
      </c>
      <c r="F9" s="9">
        <v>0.12</v>
      </c>
      <c r="G9" s="9">
        <v>0.12</v>
      </c>
      <c r="H9" s="9"/>
      <c r="I9" s="9"/>
      <c r="J9" s="9"/>
      <c r="K9" s="9"/>
      <c r="L9" s="9"/>
      <c r="M9" s="9"/>
      <c r="N9" s="9"/>
      <c r="O9" s="17" t="s">
        <v>33</v>
      </c>
      <c r="P9" s="10"/>
      <c r="Q9" s="2"/>
      <c r="R9" s="3"/>
      <c r="S9" s="4"/>
    </row>
    <row r="10" spans="1:34" s="1" customFormat="1" ht="15.6" x14ac:dyDescent="0.3">
      <c r="A10" s="34" t="s">
        <v>42</v>
      </c>
      <c r="B10" s="8"/>
      <c r="C10" s="9">
        <v>0.8</v>
      </c>
      <c r="D10" s="9">
        <v>0.4</v>
      </c>
      <c r="E10" s="9">
        <v>0.8</v>
      </c>
      <c r="F10" s="9">
        <v>0.8</v>
      </c>
      <c r="G10" s="9"/>
      <c r="H10" s="9"/>
      <c r="I10" s="9"/>
      <c r="J10" s="9"/>
      <c r="K10" s="9"/>
      <c r="L10" s="9"/>
      <c r="M10" s="9"/>
      <c r="N10" s="9"/>
      <c r="O10" s="17" t="s">
        <v>31</v>
      </c>
      <c r="P10" s="10"/>
      <c r="Q10" s="2"/>
      <c r="R10" s="3"/>
      <c r="S10" s="4"/>
    </row>
    <row r="11" spans="1:34" s="1" customFormat="1" ht="23.4" x14ac:dyDescent="0.45">
      <c r="A11" s="34"/>
      <c r="B11" s="8"/>
      <c r="C11" s="9">
        <v>8</v>
      </c>
      <c r="D11" s="9">
        <v>1</v>
      </c>
      <c r="E11" s="9">
        <v>1</v>
      </c>
      <c r="F11" s="9">
        <v>1</v>
      </c>
      <c r="G11" s="9"/>
      <c r="H11" s="9"/>
      <c r="I11" s="9"/>
      <c r="J11" s="9"/>
      <c r="K11" s="9"/>
      <c r="L11" s="9"/>
      <c r="M11" s="9"/>
      <c r="N11" s="9"/>
      <c r="O11" s="17" t="s">
        <v>32</v>
      </c>
      <c r="P11" s="10"/>
      <c r="Q11" s="2"/>
      <c r="R11" s="3"/>
      <c r="S11" s="4"/>
      <c r="AH11" s="19" t="s">
        <v>47</v>
      </c>
    </row>
    <row r="12" spans="1:34" s="1" customFormat="1" ht="15.6" x14ac:dyDescent="0.3">
      <c r="A12" s="34"/>
      <c r="B12" s="8"/>
      <c r="C12" s="9">
        <v>0.05</v>
      </c>
      <c r="D12" s="9">
        <v>0.05</v>
      </c>
      <c r="E12" s="9">
        <v>0.05</v>
      </c>
      <c r="F12" s="9">
        <v>0.05</v>
      </c>
      <c r="G12" s="9"/>
      <c r="H12" s="9"/>
      <c r="I12" s="9"/>
      <c r="J12" s="9"/>
      <c r="K12" s="9"/>
      <c r="L12" s="9"/>
      <c r="M12" s="9"/>
      <c r="N12" s="9"/>
      <c r="O12" s="17" t="s">
        <v>3</v>
      </c>
      <c r="P12" s="10"/>
      <c r="Q12" s="2"/>
      <c r="R12" s="3"/>
      <c r="S12" s="4"/>
    </row>
    <row r="13" spans="1:34" s="1" customFormat="1" ht="15.6" x14ac:dyDescent="0.3">
      <c r="A13" s="34"/>
      <c r="B13" s="11"/>
      <c r="C13" s="9">
        <v>2</v>
      </c>
      <c r="D13" s="9">
        <v>0.01</v>
      </c>
      <c r="E13" s="9">
        <v>0.01</v>
      </c>
      <c r="F13" s="9">
        <v>0.01</v>
      </c>
      <c r="G13" s="9"/>
      <c r="H13" s="9"/>
      <c r="I13" s="9"/>
      <c r="J13" s="9"/>
      <c r="K13" s="9"/>
      <c r="L13" s="9"/>
      <c r="M13" s="9"/>
      <c r="N13" s="9"/>
      <c r="O13" s="17" t="s">
        <v>33</v>
      </c>
      <c r="P13" s="10"/>
      <c r="Q13" s="2"/>
      <c r="R13" s="3"/>
      <c r="S13" s="4"/>
    </row>
    <row r="14" spans="1:34" s="1" customForma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3"/>
      <c r="S14" s="4"/>
    </row>
    <row r="15" spans="1:34" s="1" customForma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3"/>
      <c r="S15" s="4"/>
    </row>
    <row r="16" spans="1:34" s="1" customForma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3"/>
      <c r="S16" s="4"/>
    </row>
    <row r="17" spans="1:19" s="1" customForma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3"/>
      <c r="S17" s="4"/>
    </row>
    <row r="18" spans="1:19" s="1" customForma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3"/>
      <c r="S18" s="4"/>
    </row>
    <row r="19" spans="1:19" s="1" customForma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3"/>
      <c r="S19" s="4"/>
    </row>
    <row r="20" spans="1:19" s="1" customForma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3"/>
      <c r="S20" s="4"/>
    </row>
    <row r="21" spans="1:19" s="1" customForma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3"/>
      <c r="S21" s="4"/>
    </row>
    <row r="22" spans="1:19" s="1" customForma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3"/>
      <c r="S22" s="4"/>
    </row>
    <row r="23" spans="1:19" s="1" customForma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3"/>
      <c r="S23" s="4"/>
    </row>
    <row r="24" spans="1:19" s="1" customForma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3"/>
      <c r="S24" s="4"/>
    </row>
    <row r="25" spans="1:19" s="1" customForma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3"/>
      <c r="S25" s="4"/>
    </row>
    <row r="26" spans="1:19" s="1" customForma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3"/>
      <c r="S26" s="4"/>
    </row>
    <row r="27" spans="1:19" s="1" customForma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3"/>
      <c r="S27" s="4"/>
    </row>
    <row r="28" spans="1:19" s="1" customForma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3"/>
      <c r="S28" s="4"/>
    </row>
    <row r="29" spans="1:19" s="1" customForma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3"/>
      <c r="S29" s="4"/>
    </row>
    <row r="30" spans="1:19" s="1" customForma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3"/>
      <c r="S30" s="4"/>
    </row>
    <row r="31" spans="1:19" s="1" customForma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3"/>
      <c r="S31" s="4"/>
    </row>
    <row r="32" spans="1:19" s="1" customForma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3"/>
      <c r="S32" s="4"/>
    </row>
    <row r="33" spans="1:19" s="1" customForma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3"/>
      <c r="S33" s="4"/>
    </row>
    <row r="34" spans="1:19" s="1" customForma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3"/>
      <c r="S34" s="4"/>
    </row>
    <row r="35" spans="1:19" s="1" customForma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3"/>
      <c r="S35" s="4"/>
    </row>
    <row r="36" spans="1:19" s="1" customForma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3"/>
      <c r="S36" s="4"/>
    </row>
    <row r="37" spans="1:19" s="1" customForma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3"/>
      <c r="S37" s="4"/>
    </row>
    <row r="38" spans="1:19" s="1" customForma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3"/>
      <c r="S38" s="4"/>
    </row>
    <row r="39" spans="1:19" s="1" customForma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3"/>
      <c r="S39" s="4"/>
    </row>
    <row r="40" spans="1:19" s="1" customForma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3"/>
      <c r="S40" s="4"/>
    </row>
    <row r="41" spans="1:19" s="1" customForma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3"/>
      <c r="S41" s="4"/>
    </row>
    <row r="42" spans="1:19" s="1" customForma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3"/>
      <c r="S42" s="4"/>
    </row>
    <row r="43" spans="1:19" s="1" customForma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3"/>
      <c r="S43" s="4"/>
    </row>
    <row r="44" spans="1:19" s="1" customForma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3"/>
      <c r="S44" s="4"/>
    </row>
    <row r="45" spans="1:19" s="1" customForma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3"/>
      <c r="S45" s="4"/>
    </row>
    <row r="46" spans="1:19" s="1" customForma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3"/>
      <c r="S46" s="4"/>
    </row>
    <row r="47" spans="1:19" s="1" customForma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3"/>
      <c r="S47" s="4"/>
    </row>
    <row r="48" spans="1:19" s="1" customForma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3"/>
      <c r="S48" s="4"/>
    </row>
    <row r="49" spans="1:19" s="1" customForma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3"/>
      <c r="S49" s="4"/>
    </row>
    <row r="50" spans="1:19" s="1" customForma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3"/>
      <c r="S50" s="4"/>
    </row>
    <row r="51" spans="1:19" s="1" customForma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3"/>
      <c r="S51" s="4"/>
    </row>
    <row r="52" spans="1:19" s="1" customForma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3"/>
      <c r="S52" s="4"/>
    </row>
    <row r="53" spans="1:19" s="1" customForma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3"/>
      <c r="S53" s="4"/>
    </row>
    <row r="54" spans="1:19" s="1" customForma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3"/>
      <c r="S54" s="4"/>
    </row>
    <row r="55" spans="1:19" s="1" customForma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3"/>
      <c r="S55" s="4"/>
    </row>
    <row r="56" spans="1:19" s="1" customForma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3"/>
      <c r="S56" s="4"/>
    </row>
    <row r="57" spans="1:19" s="1" customForma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3"/>
      <c r="S57" s="4"/>
    </row>
    <row r="58" spans="1:19" s="1" customForma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3"/>
      <c r="S58" s="4"/>
    </row>
    <row r="59" spans="1:19" s="1" customForma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3"/>
      <c r="S59" s="4"/>
    </row>
    <row r="60" spans="1:19" s="1" customFormat="1" x14ac:dyDescent="0.3">
      <c r="A60" s="2"/>
      <c r="B60" s="2"/>
      <c r="C60" s="2">
        <v>1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3"/>
      <c r="S60" s="4"/>
    </row>
    <row r="61" spans="1:19" s="1" customForma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3"/>
      <c r="S61" s="4"/>
    </row>
    <row r="62" spans="1:19" s="1" customForma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3"/>
      <c r="S62" s="4"/>
    </row>
    <row r="63" spans="1:19" s="1" customForma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3"/>
      <c r="S63" s="4"/>
    </row>
    <row r="64" spans="1:19" s="1" customForma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3"/>
      <c r="S64" s="4"/>
    </row>
    <row r="65" spans="1:19" s="1" customForma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3"/>
      <c r="S65" s="4"/>
    </row>
    <row r="66" spans="1:19" s="1" customForma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3"/>
      <c r="S66" s="4"/>
    </row>
    <row r="67" spans="1:19" s="1" customForma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3"/>
      <c r="S67" s="4"/>
    </row>
    <row r="68" spans="1:19" s="1" customForma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3"/>
      <c r="S68" s="4"/>
    </row>
    <row r="69" spans="1:19" s="1" customForma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3"/>
      <c r="S69" s="4"/>
    </row>
    <row r="70" spans="1:19" s="1" customForma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3"/>
      <c r="S70" s="4"/>
    </row>
    <row r="71" spans="1:19" s="1" customForma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3"/>
      <c r="S71" s="4"/>
    </row>
    <row r="72" spans="1:19" s="1" customForma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3"/>
      <c r="S72" s="4"/>
    </row>
    <row r="73" spans="1:19" s="1" customForma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3"/>
      <c r="S73" s="4"/>
    </row>
    <row r="74" spans="1:19" s="1" customForma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3"/>
      <c r="S74" s="4"/>
    </row>
    <row r="75" spans="1:19" s="1" customForma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3"/>
      <c r="S75" s="4"/>
    </row>
    <row r="76" spans="1:19" s="1" customForma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3"/>
      <c r="S76" s="4"/>
    </row>
    <row r="77" spans="1:19" s="1" customForma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3"/>
      <c r="S77" s="4"/>
    </row>
    <row r="78" spans="1:19" s="1" customForma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3"/>
      <c r="S78" s="4"/>
    </row>
    <row r="79" spans="1:19" s="1" customForma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3"/>
      <c r="S79" s="4"/>
    </row>
    <row r="80" spans="1:19" s="1" customForma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3"/>
      <c r="S80" s="4"/>
    </row>
    <row r="81" spans="1:19" s="1" customForma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3"/>
      <c r="S81" s="4"/>
    </row>
    <row r="82" spans="1:19" s="1" customForma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3"/>
      <c r="S82" s="4"/>
    </row>
    <row r="83" spans="1:19" s="1" customForma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3"/>
      <c r="S83" s="4"/>
    </row>
    <row r="84" spans="1:19" s="1" customForma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3"/>
      <c r="S84" s="4"/>
    </row>
    <row r="85" spans="1:19" s="1" customForma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3"/>
      <c r="S85" s="4"/>
    </row>
    <row r="86" spans="1:19" s="1" customForma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3"/>
      <c r="S86" s="4"/>
    </row>
    <row r="87" spans="1:19" s="1" customForma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3"/>
      <c r="S87" s="4"/>
    </row>
    <row r="88" spans="1:19" s="1" customForma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3"/>
      <c r="S88" s="4"/>
    </row>
    <row r="89" spans="1:19" s="1" customForma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3"/>
      <c r="S89" s="4"/>
    </row>
    <row r="90" spans="1:19" s="1" customForma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3"/>
      <c r="S90" s="4"/>
    </row>
    <row r="91" spans="1:19" s="1" customForma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3"/>
      <c r="S91" s="4"/>
    </row>
    <row r="92" spans="1:19" s="1" customForma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3"/>
      <c r="S92" s="4"/>
    </row>
    <row r="93" spans="1:19" s="1" customForma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3"/>
      <c r="S93" s="4"/>
    </row>
    <row r="94" spans="1:19" s="1" customForma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3"/>
      <c r="S94" s="4"/>
    </row>
    <row r="95" spans="1:19" s="1" customForma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3"/>
      <c r="S95" s="4"/>
    </row>
    <row r="96" spans="1:19" s="1" customForma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3"/>
      <c r="S96" s="4"/>
    </row>
    <row r="97" spans="1:19" s="1" customForma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3"/>
      <c r="S97" s="4"/>
    </row>
    <row r="98" spans="1:19" s="1" customForma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3"/>
      <c r="S98" s="4"/>
    </row>
    <row r="99" spans="1:19" s="1" customForma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3"/>
      <c r="S99" s="4"/>
    </row>
    <row r="100" spans="1:19" s="1" customForma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3"/>
      <c r="S100" s="4"/>
    </row>
    <row r="101" spans="1:19" s="1" customForma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3"/>
      <c r="S101" s="4"/>
    </row>
    <row r="102" spans="1:19" s="1" customForma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3"/>
      <c r="S102" s="4"/>
    </row>
    <row r="103" spans="1:19" s="1" customForma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3"/>
      <c r="S103" s="4"/>
    </row>
    <row r="104" spans="1:19" s="1" customForma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3"/>
      <c r="S104" s="4"/>
    </row>
    <row r="105" spans="1:19" s="1" customForma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3"/>
      <c r="S105" s="4"/>
    </row>
    <row r="106" spans="1:19" s="1" customForma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3"/>
      <c r="S106" s="4"/>
    </row>
    <row r="107" spans="1:19" s="1" customForma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3"/>
      <c r="S107" s="4"/>
    </row>
    <row r="108" spans="1:19" s="1" customForma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3"/>
      <c r="S108" s="4"/>
    </row>
    <row r="109" spans="1:19" s="1" customForma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3"/>
      <c r="S109" s="4"/>
    </row>
    <row r="110" spans="1:19" s="1" customForma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3"/>
      <c r="S110" s="4"/>
    </row>
    <row r="111" spans="1:19" s="1" customForma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3"/>
      <c r="S111" s="4"/>
    </row>
    <row r="112" spans="1:19" s="1" customForma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3"/>
      <c r="S112" s="4"/>
    </row>
    <row r="113" spans="1:19" s="1" customForma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3"/>
      <c r="S113" s="4"/>
    </row>
    <row r="114" spans="1:19" s="1" customForma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13"/>
      <c r="S114" s="14"/>
    </row>
    <row r="115" spans="1:19" s="1" customForma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/>
      <c r="S115"/>
    </row>
    <row r="116" spans="1:19" s="1" customForma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/>
      <c r="S116"/>
    </row>
    <row r="117" spans="1:19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9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9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9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1:19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1:19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9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1:19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9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9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9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9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</sheetData>
  <mergeCells count="3">
    <mergeCell ref="A1:S2"/>
    <mergeCell ref="A6:A9"/>
    <mergeCell ref="A10:A13"/>
  </mergeCells>
  <conditionalFormatting sqref="C6:P13">
    <cfRule type="cellIs" dxfId="26" priority="1" operator="greater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0F88F-0E69-4EF8-B05C-CCAC561CEA4F}">
  <dimension ref="A1:U131"/>
  <sheetViews>
    <sheetView zoomScale="40" zoomScaleNormal="40" workbookViewId="0">
      <selection activeCell="T18" sqref="T18"/>
    </sheetView>
  </sheetViews>
  <sheetFormatPr defaultRowHeight="14.4" x14ac:dyDescent="0.3"/>
  <cols>
    <col min="2" max="2" width="53.5546875" customWidth="1"/>
    <col min="17" max="17" width="1.88671875" customWidth="1"/>
    <col min="18" max="19" width="8.88671875" hidden="1" customWidth="1"/>
    <col min="20" max="21" width="8.88671875" style="1"/>
  </cols>
  <sheetData>
    <row r="1" spans="1:19" x14ac:dyDescent="0.3">
      <c r="A1" s="33" t="s">
        <v>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19" ht="30.6" customHeight="1" x14ac:dyDescent="0.3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19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4"/>
    </row>
    <row r="4" spans="1:19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/>
      <c r="S4" s="4"/>
    </row>
    <row r="5" spans="1:19" ht="15.6" x14ac:dyDescent="0.3">
      <c r="A5" s="2"/>
      <c r="B5" s="2"/>
      <c r="C5" s="6" t="s">
        <v>19</v>
      </c>
      <c r="D5" s="6" t="s">
        <v>20</v>
      </c>
      <c r="E5" s="6" t="s">
        <v>21</v>
      </c>
      <c r="F5" s="6" t="s">
        <v>22</v>
      </c>
      <c r="G5" s="6" t="s">
        <v>23</v>
      </c>
      <c r="H5" s="6" t="s">
        <v>24</v>
      </c>
      <c r="I5" s="6" t="s">
        <v>25</v>
      </c>
      <c r="J5" s="6" t="s">
        <v>26</v>
      </c>
      <c r="K5" s="6" t="s">
        <v>27</v>
      </c>
      <c r="L5" s="6" t="s">
        <v>28</v>
      </c>
      <c r="M5" s="6" t="s">
        <v>29</v>
      </c>
      <c r="N5" s="6" t="s">
        <v>30</v>
      </c>
      <c r="O5" s="7"/>
      <c r="P5" s="7"/>
      <c r="Q5" s="2"/>
      <c r="R5" s="3"/>
      <c r="S5" s="4"/>
    </row>
    <row r="6" spans="1:19" s="1" customFormat="1" ht="15.6" x14ac:dyDescent="0.3">
      <c r="A6" s="34" t="s">
        <v>41</v>
      </c>
      <c r="B6" s="8" t="s">
        <v>1</v>
      </c>
      <c r="C6" s="9">
        <v>2</v>
      </c>
      <c r="D6" s="9">
        <v>0</v>
      </c>
      <c r="E6" s="9">
        <v>0</v>
      </c>
      <c r="F6" s="9">
        <v>5</v>
      </c>
      <c r="G6" s="9">
        <v>4</v>
      </c>
      <c r="H6" s="9">
        <v>3</v>
      </c>
      <c r="I6" s="9">
        <v>3</v>
      </c>
      <c r="J6" s="9">
        <v>8</v>
      </c>
      <c r="K6" s="9">
        <v>4</v>
      </c>
      <c r="L6" s="9">
        <v>4</v>
      </c>
      <c r="M6" s="9">
        <v>0</v>
      </c>
      <c r="N6" s="9">
        <v>0</v>
      </c>
      <c r="O6" s="10"/>
      <c r="P6" s="10"/>
      <c r="Q6" s="2"/>
      <c r="R6" s="3"/>
      <c r="S6" s="4"/>
    </row>
    <row r="7" spans="1:19" s="1" customFormat="1" ht="15.6" x14ac:dyDescent="0.3">
      <c r="A7" s="34"/>
      <c r="B7" s="8" t="s">
        <v>2</v>
      </c>
      <c r="C7" s="9">
        <v>22</v>
      </c>
      <c r="D7" s="9">
        <v>27</v>
      </c>
      <c r="E7" s="9">
        <v>27</v>
      </c>
      <c r="F7" s="9">
        <v>23</v>
      </c>
      <c r="G7" s="9">
        <v>23</v>
      </c>
      <c r="H7" s="9">
        <v>23</v>
      </c>
      <c r="I7" s="9">
        <v>23</v>
      </c>
      <c r="J7" s="9">
        <v>14</v>
      </c>
      <c r="K7" s="9">
        <v>14</v>
      </c>
      <c r="L7" s="9">
        <v>14</v>
      </c>
      <c r="M7" s="9">
        <v>14</v>
      </c>
      <c r="N7" s="9">
        <v>14</v>
      </c>
      <c r="O7" s="10"/>
      <c r="P7" s="10"/>
      <c r="Q7" s="2"/>
      <c r="R7" s="3"/>
      <c r="S7" s="4"/>
    </row>
    <row r="8" spans="1:19" s="1" customFormat="1" ht="15.6" x14ac:dyDescent="0.3">
      <c r="A8" s="34"/>
      <c r="B8" s="8" t="s">
        <v>3</v>
      </c>
      <c r="C8" s="9">
        <v>0</v>
      </c>
      <c r="D8" s="9">
        <v>0</v>
      </c>
      <c r="E8" s="9">
        <v>0</v>
      </c>
      <c r="F8" s="9">
        <v>1</v>
      </c>
      <c r="G8" s="9">
        <v>1</v>
      </c>
      <c r="H8" s="9">
        <v>7</v>
      </c>
      <c r="I8" s="9">
        <v>7</v>
      </c>
      <c r="J8" s="9">
        <v>9</v>
      </c>
      <c r="K8" s="9">
        <v>8</v>
      </c>
      <c r="L8" s="9">
        <v>9</v>
      </c>
      <c r="M8" s="9">
        <v>5</v>
      </c>
      <c r="N8" s="9">
        <v>1</v>
      </c>
      <c r="O8" s="10"/>
      <c r="P8" s="10"/>
      <c r="Q8" s="2"/>
      <c r="R8" s="3"/>
      <c r="S8" s="4"/>
    </row>
    <row r="9" spans="1:19" s="1" customFormat="1" ht="15.6" x14ac:dyDescent="0.3">
      <c r="A9" s="34"/>
      <c r="B9" s="11" t="s">
        <v>4</v>
      </c>
      <c r="C9" s="9">
        <v>3</v>
      </c>
      <c r="D9" s="9">
        <v>3</v>
      </c>
      <c r="E9" s="9">
        <v>3</v>
      </c>
      <c r="F9" s="9">
        <v>3</v>
      </c>
      <c r="G9" s="9">
        <v>3</v>
      </c>
      <c r="H9" s="9">
        <v>3</v>
      </c>
      <c r="I9" s="9">
        <v>3</v>
      </c>
      <c r="J9" s="9">
        <v>4</v>
      </c>
      <c r="K9" s="9">
        <v>1</v>
      </c>
      <c r="L9" s="9">
        <v>1</v>
      </c>
      <c r="M9" s="9">
        <v>0</v>
      </c>
      <c r="N9" s="9">
        <v>0</v>
      </c>
      <c r="O9" s="10"/>
      <c r="P9" s="10"/>
      <c r="Q9" s="2"/>
      <c r="R9" s="3"/>
      <c r="S9" s="4"/>
    </row>
    <row r="10" spans="1:19" s="1" customFormat="1" ht="15.6" x14ac:dyDescent="0.3">
      <c r="A10" s="34" t="s">
        <v>42</v>
      </c>
      <c r="B10" s="8" t="s">
        <v>1</v>
      </c>
      <c r="C10" s="9">
        <v>20</v>
      </c>
      <c r="D10" s="9">
        <v>20</v>
      </c>
      <c r="E10" s="9">
        <v>20</v>
      </c>
      <c r="F10" s="9">
        <v>20</v>
      </c>
      <c r="G10" s="9">
        <v>13</v>
      </c>
      <c r="H10" s="9">
        <v>11</v>
      </c>
      <c r="I10" s="9">
        <v>11</v>
      </c>
      <c r="J10" s="9">
        <v>13</v>
      </c>
      <c r="K10" s="9">
        <v>11</v>
      </c>
      <c r="L10" s="9">
        <v>13</v>
      </c>
      <c r="M10" s="9">
        <v>3</v>
      </c>
      <c r="N10" s="9">
        <v>2</v>
      </c>
      <c r="O10" s="10"/>
      <c r="P10" s="10"/>
      <c r="Q10" s="2"/>
      <c r="R10" s="3"/>
      <c r="S10" s="4"/>
    </row>
    <row r="11" spans="1:19" s="1" customFormat="1" ht="15.6" x14ac:dyDescent="0.3">
      <c r="A11" s="34"/>
      <c r="B11" s="8" t="s">
        <v>2</v>
      </c>
      <c r="C11" s="9">
        <v>84</v>
      </c>
      <c r="D11" s="9">
        <v>84</v>
      </c>
      <c r="E11" s="9">
        <v>84</v>
      </c>
      <c r="F11" s="9">
        <v>84</v>
      </c>
      <c r="G11" s="9">
        <v>71</v>
      </c>
      <c r="H11" s="9">
        <v>38</v>
      </c>
      <c r="I11" s="9">
        <v>39</v>
      </c>
      <c r="J11" s="9">
        <v>39</v>
      </c>
      <c r="K11" s="9">
        <v>23</v>
      </c>
      <c r="L11" s="9">
        <v>17</v>
      </c>
      <c r="M11" s="9">
        <v>16</v>
      </c>
      <c r="N11" s="9">
        <v>22</v>
      </c>
      <c r="O11" s="10"/>
      <c r="P11" s="10"/>
      <c r="Q11" s="2"/>
      <c r="R11" s="3"/>
      <c r="S11" s="4"/>
    </row>
    <row r="12" spans="1:19" s="1" customFormat="1" ht="15.6" x14ac:dyDescent="0.3">
      <c r="A12" s="34"/>
      <c r="B12" s="8" t="s">
        <v>3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3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1</v>
      </c>
      <c r="O12" s="10"/>
      <c r="P12" s="10"/>
      <c r="Q12" s="2"/>
      <c r="R12" s="3"/>
      <c r="S12" s="4"/>
    </row>
    <row r="13" spans="1:19" s="1" customFormat="1" ht="15.6" x14ac:dyDescent="0.3">
      <c r="A13" s="34"/>
      <c r="B13" s="11" t="s">
        <v>4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1</v>
      </c>
      <c r="I13" s="9">
        <v>0</v>
      </c>
      <c r="J13" s="9">
        <v>1</v>
      </c>
      <c r="K13" s="9">
        <v>3</v>
      </c>
      <c r="L13" s="9">
        <v>0</v>
      </c>
      <c r="M13" s="9">
        <v>0</v>
      </c>
      <c r="N13" s="9">
        <v>3</v>
      </c>
      <c r="O13" s="10"/>
      <c r="P13" s="10"/>
      <c r="Q13" s="2"/>
      <c r="R13" s="3"/>
      <c r="S13" s="4"/>
    </row>
    <row r="14" spans="1:19" s="1" customForma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3"/>
      <c r="S14" s="4"/>
    </row>
    <row r="15" spans="1:19" s="1" customForma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3"/>
      <c r="S15" s="4"/>
    </row>
    <row r="16" spans="1:19" s="1" customForma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3"/>
      <c r="S16" s="4"/>
    </row>
    <row r="17" spans="1:19" s="1" customForma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3"/>
      <c r="S17" s="4"/>
    </row>
    <row r="18" spans="1:19" s="1" customForma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3"/>
      <c r="S18" s="4"/>
    </row>
    <row r="19" spans="1:19" s="1" customForma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3"/>
      <c r="S19" s="4"/>
    </row>
    <row r="20" spans="1:19" s="1" customForma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3"/>
      <c r="S20" s="4"/>
    </row>
    <row r="21" spans="1:19" s="1" customForma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3"/>
      <c r="S21" s="4"/>
    </row>
    <row r="22" spans="1:19" s="1" customForma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3"/>
      <c r="S22" s="4"/>
    </row>
    <row r="23" spans="1:19" s="1" customForma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3"/>
      <c r="S23" s="4"/>
    </row>
    <row r="24" spans="1:19" s="1" customForma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3"/>
      <c r="S24" s="4"/>
    </row>
    <row r="25" spans="1:19" s="1" customForma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3"/>
      <c r="S25" s="4"/>
    </row>
    <row r="26" spans="1:19" s="1" customForma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3"/>
      <c r="S26" s="4"/>
    </row>
    <row r="27" spans="1:19" s="1" customForma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3"/>
      <c r="S27" s="4"/>
    </row>
    <row r="28" spans="1:19" s="1" customForma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3"/>
      <c r="S28" s="4"/>
    </row>
    <row r="29" spans="1:19" s="1" customForma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3"/>
      <c r="S29" s="4"/>
    </row>
    <row r="30" spans="1:19" s="1" customForma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3"/>
      <c r="S30" s="4"/>
    </row>
    <row r="31" spans="1:19" s="1" customForma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3"/>
      <c r="S31" s="4"/>
    </row>
    <row r="32" spans="1:19" s="1" customForma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3"/>
      <c r="S32" s="4"/>
    </row>
    <row r="33" spans="1:19" s="1" customForma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3"/>
      <c r="S33" s="4"/>
    </row>
    <row r="34" spans="1:19" s="1" customForma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3"/>
      <c r="S34" s="4"/>
    </row>
    <row r="35" spans="1:19" s="1" customForma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3"/>
      <c r="S35" s="4"/>
    </row>
    <row r="36" spans="1:19" s="1" customForma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3"/>
      <c r="S36" s="4"/>
    </row>
    <row r="37" spans="1:19" s="1" customForma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3"/>
      <c r="S37" s="4"/>
    </row>
    <row r="38" spans="1:19" s="1" customForma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3"/>
      <c r="S38" s="4"/>
    </row>
    <row r="39" spans="1:19" s="1" customForma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3"/>
      <c r="S39" s="4"/>
    </row>
    <row r="40" spans="1:19" s="1" customForma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3"/>
      <c r="S40" s="4"/>
    </row>
    <row r="41" spans="1:19" s="1" customForma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3"/>
      <c r="S41" s="4"/>
    </row>
    <row r="42" spans="1:19" s="1" customForma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3"/>
      <c r="S42" s="4"/>
    </row>
    <row r="43" spans="1:19" s="1" customForma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3"/>
      <c r="S43" s="4"/>
    </row>
    <row r="44" spans="1:19" s="1" customForma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3"/>
      <c r="S44" s="4"/>
    </row>
    <row r="45" spans="1:19" s="1" customForma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3"/>
      <c r="S45" s="4"/>
    </row>
    <row r="46" spans="1:19" s="1" customForma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3"/>
      <c r="S46" s="4"/>
    </row>
    <row r="47" spans="1:19" s="1" customForma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3"/>
      <c r="S47" s="4"/>
    </row>
    <row r="48" spans="1:19" s="1" customForma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3"/>
      <c r="S48" s="4"/>
    </row>
    <row r="49" spans="1:19" s="1" customForma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3"/>
      <c r="S49" s="4"/>
    </row>
    <row r="50" spans="1:19" s="1" customForma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3"/>
      <c r="S50" s="4"/>
    </row>
    <row r="51" spans="1:19" s="1" customForma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3"/>
      <c r="S51" s="4"/>
    </row>
    <row r="52" spans="1:19" s="1" customForma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3"/>
      <c r="S52" s="4"/>
    </row>
    <row r="53" spans="1:19" s="1" customForma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3"/>
      <c r="S53" s="4"/>
    </row>
    <row r="54" spans="1:19" s="1" customForma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3"/>
      <c r="S54" s="4"/>
    </row>
    <row r="55" spans="1:19" s="1" customForma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3"/>
      <c r="S55" s="4"/>
    </row>
    <row r="56" spans="1:19" s="1" customForma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3"/>
      <c r="S56" s="4"/>
    </row>
    <row r="57" spans="1:19" s="1" customForma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3"/>
      <c r="S57" s="4"/>
    </row>
    <row r="58" spans="1:19" s="1" customForma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3"/>
      <c r="S58" s="4"/>
    </row>
    <row r="59" spans="1:19" s="1" customForma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3"/>
      <c r="S59" s="4"/>
    </row>
    <row r="60" spans="1:19" s="1" customForma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3"/>
      <c r="S60" s="4"/>
    </row>
    <row r="61" spans="1:19" s="1" customForma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3"/>
      <c r="S61" s="4"/>
    </row>
    <row r="62" spans="1:19" s="1" customForma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3"/>
      <c r="S62" s="4"/>
    </row>
    <row r="63" spans="1:19" s="1" customForma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3"/>
      <c r="S63" s="4"/>
    </row>
    <row r="64" spans="1:19" s="1" customForma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3"/>
      <c r="S64" s="4"/>
    </row>
    <row r="65" spans="1:19" s="1" customForma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3"/>
      <c r="S65" s="4"/>
    </row>
    <row r="66" spans="1:19" s="1" customForma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3"/>
      <c r="S66" s="4"/>
    </row>
    <row r="67" spans="1:19" s="1" customForma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3"/>
      <c r="S67" s="4"/>
    </row>
    <row r="68" spans="1:19" s="1" customForma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3"/>
      <c r="S68" s="4"/>
    </row>
    <row r="69" spans="1:19" s="1" customForma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3"/>
      <c r="S69" s="4"/>
    </row>
    <row r="70" spans="1:19" s="1" customForma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3"/>
      <c r="S70" s="4"/>
    </row>
    <row r="71" spans="1:19" s="1" customForma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3"/>
      <c r="S71" s="4"/>
    </row>
    <row r="72" spans="1:19" s="1" customForma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3"/>
      <c r="S72" s="4"/>
    </row>
    <row r="73" spans="1:19" s="1" customForma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3"/>
      <c r="S73" s="4"/>
    </row>
    <row r="74" spans="1:19" s="1" customForma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3"/>
      <c r="S74" s="4"/>
    </row>
    <row r="75" spans="1:19" s="1" customForma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3"/>
      <c r="S75" s="4"/>
    </row>
    <row r="76" spans="1:19" s="1" customForma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3"/>
      <c r="S76" s="4"/>
    </row>
    <row r="77" spans="1:19" s="1" customForma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3"/>
      <c r="S77" s="4"/>
    </row>
    <row r="78" spans="1:19" s="1" customForma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3"/>
      <c r="S78" s="4"/>
    </row>
    <row r="79" spans="1:19" s="1" customForma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3"/>
      <c r="S79" s="4"/>
    </row>
    <row r="80" spans="1:19" s="1" customForma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3"/>
      <c r="S80" s="4"/>
    </row>
    <row r="81" spans="1:19" s="1" customForma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3"/>
      <c r="S81" s="4"/>
    </row>
    <row r="82" spans="1:19" s="1" customForma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3"/>
      <c r="S82" s="4"/>
    </row>
    <row r="83" spans="1:19" s="1" customForma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3"/>
      <c r="S83" s="4"/>
    </row>
    <row r="84" spans="1:19" s="1" customForma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3"/>
      <c r="S84" s="4"/>
    </row>
    <row r="85" spans="1:19" s="1" customForma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3"/>
      <c r="S85" s="4"/>
    </row>
    <row r="86" spans="1:19" s="1" customForma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3"/>
      <c r="S86" s="4"/>
    </row>
    <row r="87" spans="1:19" s="1" customForma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3"/>
      <c r="S87" s="4"/>
    </row>
    <row r="88" spans="1:19" s="1" customForma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3"/>
      <c r="S88" s="4"/>
    </row>
    <row r="89" spans="1:19" s="1" customForma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3"/>
      <c r="S89" s="4"/>
    </row>
    <row r="90" spans="1:19" s="1" customForma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3"/>
      <c r="S90" s="4"/>
    </row>
    <row r="91" spans="1:19" s="1" customForma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3"/>
      <c r="S91" s="4"/>
    </row>
    <row r="92" spans="1:19" s="1" customForma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3"/>
      <c r="S92" s="4"/>
    </row>
    <row r="93" spans="1:19" s="1" customForma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3"/>
      <c r="S93" s="4"/>
    </row>
    <row r="94" spans="1:19" s="1" customForma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3"/>
      <c r="S94" s="4"/>
    </row>
    <row r="95" spans="1:19" s="1" customForma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3"/>
      <c r="S95" s="4"/>
    </row>
    <row r="96" spans="1:19" s="1" customForma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3"/>
      <c r="S96" s="4"/>
    </row>
    <row r="97" spans="1:19" s="1" customForma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3"/>
      <c r="S97" s="4"/>
    </row>
    <row r="98" spans="1:19" s="1" customForma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3"/>
      <c r="S98" s="4"/>
    </row>
    <row r="99" spans="1:19" s="1" customForma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3"/>
      <c r="S99" s="4"/>
    </row>
    <row r="100" spans="1:19" s="1" customForma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3"/>
      <c r="S100" s="4"/>
    </row>
    <row r="101" spans="1:19" s="1" customForma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3"/>
      <c r="S101" s="4"/>
    </row>
    <row r="102" spans="1:19" s="1" customForma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3"/>
      <c r="S102" s="4"/>
    </row>
    <row r="103" spans="1:19" s="1" customForma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3"/>
      <c r="S103" s="4"/>
    </row>
    <row r="104" spans="1:19" s="1" customForma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3"/>
      <c r="S104" s="4"/>
    </row>
    <row r="105" spans="1:19" s="1" customForma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3"/>
      <c r="S105" s="4"/>
    </row>
    <row r="106" spans="1:19" s="1" customForma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3"/>
      <c r="S106" s="4"/>
    </row>
    <row r="107" spans="1:19" s="1" customForma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3"/>
      <c r="S107" s="4"/>
    </row>
    <row r="108" spans="1:19" s="1" customForma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3"/>
      <c r="S108" s="4"/>
    </row>
    <row r="109" spans="1:19" s="1" customForma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3"/>
      <c r="S109" s="4"/>
    </row>
    <row r="110" spans="1:19" s="1" customForma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3"/>
      <c r="S110" s="4"/>
    </row>
    <row r="111" spans="1:19" s="1" customForma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3"/>
      <c r="S111" s="4"/>
    </row>
    <row r="112" spans="1:19" s="1" customForma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3"/>
      <c r="S112" s="4"/>
    </row>
    <row r="113" spans="1:19" s="1" customForma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3"/>
      <c r="S113" s="4"/>
    </row>
    <row r="114" spans="1:19" s="1" customForma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13"/>
      <c r="S114" s="14"/>
    </row>
    <row r="115" spans="1:19" s="1" customForma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/>
      <c r="S115"/>
    </row>
    <row r="116" spans="1:19" s="1" customForma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/>
      <c r="S116"/>
    </row>
    <row r="117" spans="1:19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9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9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9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1:19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1:19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9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1:19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9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9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9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9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</sheetData>
  <mergeCells count="3">
    <mergeCell ref="A1:S2"/>
    <mergeCell ref="A6:A9"/>
    <mergeCell ref="A10:A13"/>
  </mergeCells>
  <conditionalFormatting sqref="C6:P13">
    <cfRule type="cellIs" dxfId="25" priority="1" operator="greaterThan">
      <formula>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ACEB1-17D2-4936-8861-AD9C71F70571}">
  <dimension ref="A1:AB131"/>
  <sheetViews>
    <sheetView topLeftCell="A77" zoomScale="55" zoomScaleNormal="55" workbookViewId="0">
      <selection activeCell="C10" sqref="C10:F13"/>
    </sheetView>
  </sheetViews>
  <sheetFormatPr defaultRowHeight="14.4" x14ac:dyDescent="0.3"/>
  <cols>
    <col min="2" max="2" width="53.5546875" customWidth="1"/>
    <col min="17" max="17" width="1.88671875" customWidth="1"/>
    <col min="18" max="19" width="8.88671875" hidden="1" customWidth="1"/>
    <col min="20" max="21" width="8.88671875" style="1"/>
  </cols>
  <sheetData>
    <row r="1" spans="1:19" x14ac:dyDescent="0.3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19" ht="30.6" customHeight="1" x14ac:dyDescent="0.3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19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4"/>
    </row>
    <row r="4" spans="1:19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/>
      <c r="S4" s="4"/>
    </row>
    <row r="5" spans="1:19" ht="15.6" x14ac:dyDescent="0.3">
      <c r="A5" s="2"/>
      <c r="B5" s="2"/>
      <c r="C5" s="6" t="s">
        <v>53</v>
      </c>
      <c r="D5" s="6" t="s">
        <v>54</v>
      </c>
      <c r="E5" s="6" t="s">
        <v>52</v>
      </c>
      <c r="F5" s="6" t="s">
        <v>55</v>
      </c>
      <c r="G5" s="6" t="s">
        <v>57</v>
      </c>
      <c r="H5" s="6"/>
      <c r="I5" s="6"/>
      <c r="J5" s="6"/>
      <c r="K5" s="6"/>
      <c r="L5" s="6"/>
      <c r="M5" s="6"/>
      <c r="N5" s="6"/>
      <c r="O5" s="7"/>
      <c r="P5" s="7"/>
      <c r="Q5" s="2"/>
      <c r="R5" s="3"/>
      <c r="S5" s="4"/>
    </row>
    <row r="6" spans="1:19" s="1" customFormat="1" ht="15.6" x14ac:dyDescent="0.3">
      <c r="A6" s="34" t="s">
        <v>41</v>
      </c>
      <c r="B6" s="8"/>
      <c r="C6" s="9">
        <v>496</v>
      </c>
      <c r="D6" s="9">
        <v>196</v>
      </c>
      <c r="E6" s="9">
        <v>70</v>
      </c>
      <c r="F6" s="9">
        <v>55</v>
      </c>
      <c r="G6" s="9">
        <v>30</v>
      </c>
      <c r="H6" s="9"/>
      <c r="I6" s="9"/>
      <c r="J6" s="9"/>
      <c r="K6" s="9"/>
      <c r="L6" s="9"/>
      <c r="M6" s="9"/>
      <c r="N6" s="9"/>
      <c r="O6" s="17" t="s">
        <v>31</v>
      </c>
      <c r="P6" s="10"/>
      <c r="Q6" s="2"/>
      <c r="R6" s="3"/>
      <c r="S6" s="4"/>
    </row>
    <row r="7" spans="1:19" s="1" customFormat="1" ht="15.6" x14ac:dyDescent="0.3">
      <c r="A7" s="34"/>
      <c r="B7" s="8"/>
      <c r="C7" s="9">
        <v>200</v>
      </c>
      <c r="D7" s="9">
        <v>50</v>
      </c>
      <c r="E7" s="9">
        <v>10</v>
      </c>
      <c r="F7" s="9">
        <v>0.01</v>
      </c>
      <c r="G7" s="9">
        <v>0.01</v>
      </c>
      <c r="H7" s="9"/>
      <c r="I7" s="9"/>
      <c r="J7" s="9"/>
      <c r="K7" s="9"/>
      <c r="L7" s="9"/>
      <c r="M7" s="9"/>
      <c r="N7" s="9"/>
      <c r="O7" s="17" t="s">
        <v>32</v>
      </c>
      <c r="P7" s="10"/>
      <c r="Q7" s="2"/>
      <c r="R7" s="3"/>
      <c r="S7" s="4"/>
    </row>
    <row r="8" spans="1:19" s="1" customFormat="1" ht="15.6" x14ac:dyDescent="0.3">
      <c r="A8" s="34"/>
      <c r="B8" s="8"/>
      <c r="C8" s="9">
        <v>0.01</v>
      </c>
      <c r="D8" s="9">
        <v>0.01</v>
      </c>
      <c r="E8" s="9">
        <v>0.01</v>
      </c>
      <c r="F8" s="9">
        <v>0.01</v>
      </c>
      <c r="G8" s="9">
        <v>0.01</v>
      </c>
      <c r="H8" s="9"/>
      <c r="I8" s="9"/>
      <c r="J8" s="9"/>
      <c r="K8" s="9"/>
      <c r="L8" s="9"/>
      <c r="M8" s="9"/>
      <c r="N8" s="9"/>
      <c r="O8" s="17" t="s">
        <v>3</v>
      </c>
      <c r="P8" s="10"/>
      <c r="Q8" s="2"/>
      <c r="R8" s="3"/>
      <c r="S8" s="4"/>
    </row>
    <row r="9" spans="1:19" s="1" customFormat="1" ht="15.6" x14ac:dyDescent="0.3">
      <c r="A9" s="34"/>
      <c r="B9" s="11"/>
      <c r="C9" s="9">
        <v>5</v>
      </c>
      <c r="D9" s="9">
        <v>0.15</v>
      </c>
      <c r="E9" s="9">
        <v>0.15</v>
      </c>
      <c r="F9" s="9">
        <v>0.15</v>
      </c>
      <c r="G9" s="9">
        <v>0.15</v>
      </c>
      <c r="H9" s="9"/>
      <c r="I9" s="9"/>
      <c r="J9" s="9"/>
      <c r="K9" s="9"/>
      <c r="L9" s="9"/>
      <c r="M9" s="9"/>
      <c r="N9" s="9"/>
      <c r="O9" s="17" t="s">
        <v>33</v>
      </c>
      <c r="P9" s="10"/>
      <c r="Q9" s="2"/>
      <c r="R9" s="3"/>
      <c r="S9" s="4"/>
    </row>
    <row r="10" spans="1:19" s="1" customFormat="1" ht="15.6" x14ac:dyDescent="0.3">
      <c r="A10" s="34" t="s">
        <v>42</v>
      </c>
      <c r="B10" s="8"/>
      <c r="C10" s="9">
        <v>496</v>
      </c>
      <c r="D10" s="9">
        <v>113</v>
      </c>
      <c r="E10" s="9">
        <v>69</v>
      </c>
      <c r="F10" s="9">
        <v>39</v>
      </c>
      <c r="G10" s="9"/>
      <c r="H10" s="9"/>
      <c r="I10" s="9"/>
      <c r="J10" s="9"/>
      <c r="K10" s="9"/>
      <c r="L10" s="9"/>
      <c r="M10" s="9"/>
      <c r="N10" s="9"/>
      <c r="O10" s="17" t="s">
        <v>31</v>
      </c>
      <c r="P10" s="10"/>
      <c r="Q10" s="2"/>
      <c r="R10" s="3"/>
      <c r="S10" s="4"/>
    </row>
    <row r="11" spans="1:19" s="1" customFormat="1" ht="15.6" x14ac:dyDescent="0.3">
      <c r="A11" s="34"/>
      <c r="B11" s="8"/>
      <c r="C11" s="9">
        <v>200</v>
      </c>
      <c r="D11" s="9">
        <v>57</v>
      </c>
      <c r="E11" s="9">
        <v>3</v>
      </c>
      <c r="F11" s="9">
        <v>3</v>
      </c>
      <c r="G11" s="9"/>
      <c r="H11" s="9"/>
      <c r="I11" s="9"/>
      <c r="J11" s="9"/>
      <c r="K11" s="9"/>
      <c r="L11" s="9"/>
      <c r="M11" s="9"/>
      <c r="N11" s="9"/>
      <c r="O11" s="17" t="s">
        <v>32</v>
      </c>
      <c r="P11" s="10"/>
      <c r="Q11" s="2"/>
      <c r="R11" s="3"/>
      <c r="S11" s="4"/>
    </row>
    <row r="12" spans="1:19" s="1" customFormat="1" ht="15.6" x14ac:dyDescent="0.3">
      <c r="A12" s="34"/>
      <c r="B12" s="8"/>
      <c r="C12" s="9">
        <v>0.01</v>
      </c>
      <c r="D12" s="9">
        <v>0.01</v>
      </c>
      <c r="E12" s="9">
        <v>0.01</v>
      </c>
      <c r="F12" s="9">
        <v>0.01</v>
      </c>
      <c r="G12" s="9"/>
      <c r="H12" s="9"/>
      <c r="I12" s="9"/>
      <c r="J12" s="9"/>
      <c r="K12" s="9"/>
      <c r="L12" s="9"/>
      <c r="M12" s="9"/>
      <c r="N12" s="9"/>
      <c r="O12" s="17" t="s">
        <v>3</v>
      </c>
      <c r="P12" s="10"/>
      <c r="Q12" s="2"/>
      <c r="R12" s="3"/>
      <c r="S12" s="4"/>
    </row>
    <row r="13" spans="1:19" s="1" customFormat="1" ht="15.6" x14ac:dyDescent="0.3">
      <c r="A13" s="34"/>
      <c r="B13" s="11"/>
      <c r="C13" s="9">
        <v>5</v>
      </c>
      <c r="D13" s="9">
        <v>2</v>
      </c>
      <c r="E13" s="9">
        <v>2</v>
      </c>
      <c r="F13" s="9">
        <v>2</v>
      </c>
      <c r="G13" s="9"/>
      <c r="H13" s="9"/>
      <c r="I13" s="9"/>
      <c r="J13" s="9"/>
      <c r="K13" s="9"/>
      <c r="L13" s="9"/>
      <c r="M13" s="9"/>
      <c r="N13" s="9"/>
      <c r="O13" s="17" t="s">
        <v>33</v>
      </c>
      <c r="P13" s="10"/>
      <c r="Q13" s="2"/>
      <c r="R13" s="3"/>
      <c r="S13" s="4"/>
    </row>
    <row r="14" spans="1:19" s="1" customForma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3"/>
      <c r="S14" s="4"/>
    </row>
    <row r="15" spans="1:19" s="1" customForma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3"/>
      <c r="S15" s="4"/>
    </row>
    <row r="16" spans="1:19" s="1" customForma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3"/>
      <c r="S16" s="4"/>
    </row>
    <row r="17" spans="1:26" s="1" customForma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 t="s">
        <v>49</v>
      </c>
      <c r="M17" s="2"/>
      <c r="N17" s="2"/>
      <c r="O17" s="2"/>
      <c r="P17" s="2"/>
      <c r="Q17" s="2"/>
      <c r="R17" s="3"/>
      <c r="S17" s="4"/>
    </row>
    <row r="18" spans="1:26" s="1" customForma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 t="s">
        <v>51</v>
      </c>
      <c r="M18" s="2"/>
      <c r="N18" s="2"/>
      <c r="O18" s="2"/>
      <c r="P18" s="2"/>
      <c r="Q18" s="2"/>
      <c r="R18" s="3"/>
      <c r="S18" s="4"/>
    </row>
    <row r="19" spans="1:26" s="1" customForma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3"/>
      <c r="S19" s="4"/>
    </row>
    <row r="20" spans="1:26" s="1" customForma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3"/>
      <c r="S20" s="4"/>
    </row>
    <row r="21" spans="1:26" s="1" customForma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3"/>
      <c r="S21" s="4"/>
      <c r="Z21" s="21"/>
    </row>
    <row r="22" spans="1:26" s="1" customForma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3"/>
      <c r="S22" s="4"/>
    </row>
    <row r="23" spans="1:26" s="1" customForma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3"/>
      <c r="S23" s="4"/>
    </row>
    <row r="24" spans="1:26" s="1" customForma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3"/>
      <c r="S24" s="4"/>
    </row>
    <row r="25" spans="1:26" s="1" customForma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3"/>
      <c r="S25" s="4"/>
    </row>
    <row r="26" spans="1:26" s="1" customForma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3"/>
      <c r="S26" s="4"/>
    </row>
    <row r="27" spans="1:26" s="1" customForma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3"/>
      <c r="S27" s="4"/>
    </row>
    <row r="28" spans="1:26" s="1" customForma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3"/>
      <c r="S28" s="4"/>
    </row>
    <row r="29" spans="1:26" s="1" customForma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3"/>
      <c r="S29" s="4"/>
    </row>
    <row r="30" spans="1:26" s="1" customForma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3"/>
      <c r="S30" s="4"/>
    </row>
    <row r="31" spans="1:26" s="1" customForma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3"/>
      <c r="S31" s="4"/>
    </row>
    <row r="32" spans="1:26" s="1" customForma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3"/>
      <c r="S32" s="4"/>
    </row>
    <row r="33" spans="1:28" s="1" customForma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3"/>
      <c r="S33" s="4"/>
    </row>
    <row r="34" spans="1:28" s="1" customForma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3"/>
      <c r="S34" s="4"/>
    </row>
    <row r="35" spans="1:28" s="1" customForma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3"/>
      <c r="S35" s="4"/>
      <c r="AB35" s="1" t="s">
        <v>45</v>
      </c>
    </row>
    <row r="36" spans="1:28" s="1" customForma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3"/>
      <c r="S36" s="4"/>
    </row>
    <row r="37" spans="1:28" s="1" customForma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3"/>
      <c r="S37" s="4"/>
    </row>
    <row r="38" spans="1:28" s="1" customForma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3"/>
      <c r="S38" s="4"/>
    </row>
    <row r="39" spans="1:28" s="1" customForma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3"/>
      <c r="S39" s="4"/>
    </row>
    <row r="40" spans="1:28" s="1" customForma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3"/>
      <c r="S40" s="4"/>
    </row>
    <row r="41" spans="1:28" s="1" customForma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3"/>
      <c r="S41" s="4"/>
    </row>
    <row r="42" spans="1:28" s="1" customForma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3"/>
      <c r="S42" s="4"/>
    </row>
    <row r="43" spans="1:28" s="1" customForma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3"/>
      <c r="S43" s="4"/>
    </row>
    <row r="44" spans="1:28" s="1" customForma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3"/>
      <c r="S44" s="4"/>
    </row>
    <row r="45" spans="1:28" s="1" customForma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3"/>
      <c r="S45" s="4"/>
    </row>
    <row r="46" spans="1:28" s="1" customForma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3"/>
      <c r="S46" s="4"/>
    </row>
    <row r="47" spans="1:28" s="1" customForma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 t="s">
        <v>50</v>
      </c>
      <c r="M47" s="2"/>
      <c r="N47" s="2"/>
      <c r="O47" s="2"/>
      <c r="P47" s="2"/>
      <c r="Q47" s="2"/>
      <c r="R47" s="3"/>
      <c r="S47" s="4"/>
    </row>
    <row r="48" spans="1:28" s="1" customForma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 t="s">
        <v>48</v>
      </c>
      <c r="M48" s="2"/>
      <c r="N48" s="2"/>
      <c r="O48" s="2"/>
      <c r="P48" s="2"/>
      <c r="Q48" s="2"/>
      <c r="R48" s="3"/>
      <c r="S48" s="4"/>
    </row>
    <row r="49" spans="1:19" s="1" customForma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3"/>
      <c r="S49" s="4"/>
    </row>
    <row r="50" spans="1:19" s="1" customForma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3"/>
      <c r="S50" s="4"/>
    </row>
    <row r="51" spans="1:19" s="1" customForma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3"/>
      <c r="S51" s="4"/>
    </row>
    <row r="52" spans="1:19" s="1" customForma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3"/>
      <c r="S52" s="4"/>
    </row>
    <row r="53" spans="1:19" s="1" customForma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3"/>
      <c r="S53" s="4"/>
    </row>
    <row r="54" spans="1:19" s="1" customForma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3"/>
      <c r="S54" s="4"/>
    </row>
    <row r="55" spans="1:19" s="1" customForma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3"/>
      <c r="S55" s="4"/>
    </row>
    <row r="56" spans="1:19" s="1" customForma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3"/>
      <c r="S56" s="4"/>
    </row>
    <row r="57" spans="1:19" s="1" customForma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3"/>
      <c r="S57" s="4"/>
    </row>
    <row r="58" spans="1:19" s="1" customForma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3"/>
      <c r="S58" s="4"/>
    </row>
    <row r="59" spans="1:19" s="1" customForma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3"/>
      <c r="S59" s="4"/>
    </row>
    <row r="60" spans="1:19" s="1" customForma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3"/>
      <c r="S60" s="4"/>
    </row>
    <row r="61" spans="1:19" s="1" customForma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3"/>
      <c r="S61" s="4"/>
    </row>
    <row r="62" spans="1:19" s="1" customForma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3"/>
      <c r="S62" s="4"/>
    </row>
    <row r="63" spans="1:19" s="1" customForma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3"/>
      <c r="S63" s="4"/>
    </row>
    <row r="64" spans="1:19" s="1" customForma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3"/>
      <c r="S64" s="4"/>
    </row>
    <row r="65" spans="1:19" s="1" customForma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3"/>
      <c r="S65" s="4"/>
    </row>
    <row r="66" spans="1:19" s="1" customForma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3"/>
      <c r="S66" s="4"/>
    </row>
    <row r="67" spans="1:19" s="1" customForma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3"/>
      <c r="S67" s="4"/>
    </row>
    <row r="68" spans="1:19" s="1" customForma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3"/>
      <c r="S68" s="4"/>
    </row>
    <row r="69" spans="1:19" s="1" customForma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3"/>
      <c r="S69" s="4"/>
    </row>
    <row r="70" spans="1:19" s="1" customForma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3"/>
      <c r="S70" s="4"/>
    </row>
    <row r="71" spans="1:19" s="1" customForma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3"/>
      <c r="S71" s="4"/>
    </row>
    <row r="72" spans="1:19" s="1" customForma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3"/>
      <c r="S72" s="4"/>
    </row>
    <row r="73" spans="1:19" s="1" customForma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3"/>
      <c r="S73" s="4"/>
    </row>
    <row r="74" spans="1:19" s="1" customForma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3"/>
      <c r="S74" s="4"/>
    </row>
    <row r="75" spans="1:19" s="1" customForma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3"/>
      <c r="S75" s="4"/>
    </row>
    <row r="76" spans="1:19" s="1" customForma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3"/>
      <c r="S76" s="4"/>
    </row>
    <row r="77" spans="1:19" s="1" customForma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3"/>
      <c r="S77" s="4"/>
    </row>
    <row r="78" spans="1:19" s="1" customForma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3"/>
      <c r="S78" s="4"/>
    </row>
    <row r="79" spans="1:19" s="1" customForma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3"/>
      <c r="S79" s="4"/>
    </row>
    <row r="80" spans="1:19" s="1" customForma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3"/>
      <c r="S80" s="4"/>
    </row>
    <row r="81" spans="1:19" s="1" customForma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3"/>
      <c r="S81" s="4"/>
    </row>
    <row r="82" spans="1:19" s="1" customForma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3"/>
      <c r="S82" s="4"/>
    </row>
    <row r="83" spans="1:19" s="1" customForma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3"/>
      <c r="S83" s="4"/>
    </row>
    <row r="84" spans="1:19" s="1" customForma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3"/>
      <c r="S84" s="4"/>
    </row>
    <row r="85" spans="1:19" s="1" customForma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3"/>
      <c r="S85" s="4"/>
    </row>
    <row r="86" spans="1:19" s="1" customForma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3"/>
      <c r="S86" s="4"/>
    </row>
    <row r="87" spans="1:19" s="1" customForma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3"/>
      <c r="S87" s="4"/>
    </row>
    <row r="88" spans="1:19" s="1" customForma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3"/>
      <c r="S88" s="4"/>
    </row>
    <row r="89" spans="1:19" s="1" customForma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3"/>
      <c r="S89" s="4"/>
    </row>
    <row r="90" spans="1:19" s="1" customForma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3"/>
      <c r="S90" s="4"/>
    </row>
    <row r="91" spans="1:19" s="1" customForma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3"/>
      <c r="S91" s="4"/>
    </row>
    <row r="92" spans="1:19" s="1" customForma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3"/>
      <c r="S92" s="4"/>
    </row>
    <row r="93" spans="1:19" s="1" customForma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3"/>
      <c r="S93" s="4"/>
    </row>
    <row r="94" spans="1:19" s="1" customForma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3"/>
      <c r="S94" s="4"/>
    </row>
    <row r="95" spans="1:19" s="1" customForma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3"/>
      <c r="S95" s="4"/>
    </row>
    <row r="96" spans="1:19" s="1" customForma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3"/>
      <c r="S96" s="4"/>
    </row>
    <row r="97" spans="1:19" s="1" customForma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3"/>
      <c r="S97" s="4"/>
    </row>
    <row r="98" spans="1:19" s="1" customForma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3"/>
      <c r="S98" s="4"/>
    </row>
    <row r="99" spans="1:19" s="1" customForma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3"/>
      <c r="S99" s="4"/>
    </row>
    <row r="100" spans="1:19" s="1" customForma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3"/>
      <c r="S100" s="4"/>
    </row>
    <row r="101" spans="1:19" s="1" customForma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3"/>
      <c r="S101" s="4"/>
    </row>
    <row r="102" spans="1:19" s="1" customForma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3"/>
      <c r="S102" s="4"/>
    </row>
    <row r="103" spans="1:19" s="1" customForma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3"/>
      <c r="S103" s="4"/>
    </row>
    <row r="104" spans="1:19" s="1" customForma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3"/>
      <c r="S104" s="4"/>
    </row>
    <row r="105" spans="1:19" s="1" customForma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3"/>
      <c r="S105" s="4"/>
    </row>
    <row r="106" spans="1:19" s="1" customForma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3"/>
      <c r="S106" s="4"/>
    </row>
    <row r="107" spans="1:19" s="1" customForma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3"/>
      <c r="S107" s="4"/>
    </row>
    <row r="108" spans="1:19" s="1" customForma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3"/>
      <c r="S108" s="4"/>
    </row>
    <row r="109" spans="1:19" s="1" customForma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3"/>
      <c r="S109" s="4"/>
    </row>
    <row r="110" spans="1:19" s="1" customForma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3"/>
      <c r="S110" s="4"/>
    </row>
    <row r="111" spans="1:19" s="1" customForma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3"/>
      <c r="S111" s="4"/>
    </row>
    <row r="112" spans="1:19" s="1" customForma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3"/>
      <c r="S112" s="4"/>
    </row>
    <row r="113" spans="1:19" s="1" customForma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3"/>
      <c r="S113" s="4"/>
    </row>
    <row r="114" spans="1:19" s="1" customForma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13"/>
      <c r="S114" s="14"/>
    </row>
    <row r="115" spans="1:19" s="1" customForma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/>
      <c r="S115"/>
    </row>
    <row r="116" spans="1:19" s="1" customForma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/>
      <c r="S116"/>
    </row>
    <row r="117" spans="1:19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9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9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9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1:19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1:19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9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1:19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9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9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9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9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</sheetData>
  <mergeCells count="3">
    <mergeCell ref="A1:S2"/>
    <mergeCell ref="A6:A9"/>
    <mergeCell ref="A10:A13"/>
  </mergeCells>
  <phoneticPr fontId="6" type="noConversion"/>
  <conditionalFormatting sqref="C6:P13">
    <cfRule type="cellIs" dxfId="24" priority="1" operator="greaterThan">
      <formula>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0F4A6-F5A6-423A-B2CD-A63581D17007}">
  <dimension ref="A1:U131"/>
  <sheetViews>
    <sheetView topLeftCell="A15" zoomScale="40" zoomScaleNormal="40" workbookViewId="0">
      <selection activeCell="C9" sqref="C9:N9"/>
    </sheetView>
  </sheetViews>
  <sheetFormatPr defaultRowHeight="14.4" x14ac:dyDescent="0.3"/>
  <cols>
    <col min="2" max="2" width="53.5546875" customWidth="1"/>
    <col min="17" max="17" width="1.88671875" customWidth="1"/>
    <col min="18" max="19" width="8.88671875" hidden="1" customWidth="1"/>
    <col min="20" max="21" width="8.88671875" style="1"/>
  </cols>
  <sheetData>
    <row r="1" spans="1:19" x14ac:dyDescent="0.3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19" ht="30.6" customHeight="1" x14ac:dyDescent="0.3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19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4"/>
    </row>
    <row r="4" spans="1:19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/>
      <c r="S4" s="4"/>
    </row>
    <row r="5" spans="1:19" ht="15.6" x14ac:dyDescent="0.3">
      <c r="A5" s="2"/>
      <c r="B5" s="2"/>
      <c r="C5" s="6" t="s">
        <v>19</v>
      </c>
      <c r="D5" s="6" t="s">
        <v>20</v>
      </c>
      <c r="E5" s="6" t="s">
        <v>21</v>
      </c>
      <c r="F5" s="6" t="s">
        <v>22</v>
      </c>
      <c r="G5" s="6" t="s">
        <v>23</v>
      </c>
      <c r="H5" s="6" t="s">
        <v>24</v>
      </c>
      <c r="I5" s="6" t="s">
        <v>25</v>
      </c>
      <c r="J5" s="6" t="s">
        <v>26</v>
      </c>
      <c r="K5" s="6" t="s">
        <v>27</v>
      </c>
      <c r="L5" s="6" t="s">
        <v>28</v>
      </c>
      <c r="M5" s="6" t="s">
        <v>29</v>
      </c>
      <c r="N5" s="6" t="s">
        <v>30</v>
      </c>
      <c r="O5" s="7"/>
      <c r="P5" s="7"/>
      <c r="Q5" s="2"/>
      <c r="R5" s="3"/>
      <c r="S5" s="4"/>
    </row>
    <row r="6" spans="1:19" s="1" customFormat="1" ht="15.6" x14ac:dyDescent="0.3">
      <c r="A6" s="34" t="s">
        <v>41</v>
      </c>
      <c r="B6" s="8"/>
      <c r="C6" s="9">
        <v>496</v>
      </c>
      <c r="D6" s="9">
        <v>446</v>
      </c>
      <c r="E6" s="9">
        <v>396</v>
      </c>
      <c r="F6" s="9">
        <v>346</v>
      </c>
      <c r="G6" s="9">
        <v>296</v>
      </c>
      <c r="H6" s="9">
        <v>246</v>
      </c>
      <c r="I6" s="9">
        <v>196</v>
      </c>
      <c r="J6" s="9">
        <v>146</v>
      </c>
      <c r="K6" s="9">
        <v>96</v>
      </c>
      <c r="L6" s="9">
        <v>46</v>
      </c>
      <c r="M6" s="9">
        <v>0</v>
      </c>
      <c r="N6" s="9">
        <v>0</v>
      </c>
      <c r="O6" s="17" t="s">
        <v>31</v>
      </c>
      <c r="P6" s="10"/>
      <c r="Q6" s="2"/>
      <c r="R6" s="3"/>
      <c r="S6" s="4"/>
    </row>
    <row r="7" spans="1:19" s="1" customFormat="1" ht="15.6" x14ac:dyDescent="0.3">
      <c r="A7" s="34"/>
      <c r="B7" s="8"/>
      <c r="C7" s="9">
        <v>200</v>
      </c>
      <c r="D7" s="9">
        <v>170</v>
      </c>
      <c r="E7" s="9">
        <v>140</v>
      </c>
      <c r="F7" s="9">
        <v>110</v>
      </c>
      <c r="G7" s="9">
        <v>80</v>
      </c>
      <c r="H7" s="9">
        <v>70</v>
      </c>
      <c r="I7" s="9">
        <v>50</v>
      </c>
      <c r="J7" s="9">
        <v>30</v>
      </c>
      <c r="K7" s="9">
        <v>10</v>
      </c>
      <c r="L7" s="9">
        <v>0</v>
      </c>
      <c r="M7" s="9">
        <v>0</v>
      </c>
      <c r="N7" s="9">
        <v>0</v>
      </c>
      <c r="O7" s="17" t="s">
        <v>32</v>
      </c>
      <c r="P7" s="10"/>
      <c r="Q7" s="2"/>
      <c r="R7" s="3"/>
      <c r="S7" s="4"/>
    </row>
    <row r="8" spans="1:19" s="1" customFormat="1" ht="15.6" x14ac:dyDescent="0.3">
      <c r="A8" s="34"/>
      <c r="B8" s="8"/>
      <c r="C8" s="9">
        <v>0.2</v>
      </c>
      <c r="D8" s="9">
        <v>0.2</v>
      </c>
      <c r="E8" s="9">
        <v>0.2</v>
      </c>
      <c r="F8" s="9">
        <v>0.2</v>
      </c>
      <c r="G8" s="9">
        <v>0.2</v>
      </c>
      <c r="H8" s="9">
        <v>0.2</v>
      </c>
      <c r="I8" s="9">
        <v>0.2</v>
      </c>
      <c r="J8" s="9">
        <v>0.2</v>
      </c>
      <c r="K8" s="9">
        <v>0.2</v>
      </c>
      <c r="L8" s="9">
        <v>0.2</v>
      </c>
      <c r="M8" s="9">
        <v>0.2</v>
      </c>
      <c r="N8" s="9">
        <v>0.2</v>
      </c>
      <c r="O8" s="17" t="s">
        <v>3</v>
      </c>
      <c r="P8" s="10"/>
      <c r="Q8" s="2"/>
      <c r="R8" s="3"/>
      <c r="S8" s="4"/>
    </row>
    <row r="9" spans="1:19" s="1" customFormat="1" ht="15.6" x14ac:dyDescent="0.3">
      <c r="A9" s="34"/>
      <c r="B9" s="11"/>
      <c r="C9" s="9">
        <v>5</v>
      </c>
      <c r="D9" s="9">
        <v>5</v>
      </c>
      <c r="E9" s="9">
        <v>3</v>
      </c>
      <c r="F9" s="9">
        <v>0.3</v>
      </c>
      <c r="G9" s="9">
        <v>0.3</v>
      </c>
      <c r="H9" s="9">
        <v>0.3</v>
      </c>
      <c r="I9" s="9">
        <v>0.3</v>
      </c>
      <c r="J9" s="9">
        <v>0.3</v>
      </c>
      <c r="K9" s="9">
        <v>0.3</v>
      </c>
      <c r="L9" s="9">
        <v>0.3</v>
      </c>
      <c r="M9" s="9">
        <v>0.3</v>
      </c>
      <c r="N9" s="9">
        <v>0.3</v>
      </c>
      <c r="O9" s="17" t="s">
        <v>33</v>
      </c>
      <c r="P9" s="10"/>
      <c r="Q9" s="2"/>
      <c r="R9" s="3"/>
      <c r="S9" s="4"/>
    </row>
    <row r="10" spans="1:19" s="1" customFormat="1" ht="15.6" x14ac:dyDescent="0.3">
      <c r="A10" s="34" t="s">
        <v>42</v>
      </c>
      <c r="B10" s="8"/>
      <c r="C10" s="9">
        <v>496</v>
      </c>
      <c r="D10" s="9">
        <v>432</v>
      </c>
      <c r="E10" s="9">
        <v>355</v>
      </c>
      <c r="F10" s="9">
        <v>325</v>
      </c>
      <c r="G10" s="9">
        <v>149</v>
      </c>
      <c r="H10" s="9">
        <v>143</v>
      </c>
      <c r="I10" s="9">
        <v>113</v>
      </c>
      <c r="J10" s="9">
        <v>97</v>
      </c>
      <c r="K10" s="9">
        <v>76</v>
      </c>
      <c r="L10" s="9"/>
      <c r="M10" s="9"/>
      <c r="N10" s="9"/>
      <c r="O10" s="17" t="s">
        <v>31</v>
      </c>
      <c r="P10" s="10"/>
      <c r="Q10" s="2"/>
      <c r="R10" s="3"/>
      <c r="S10" s="4"/>
    </row>
    <row r="11" spans="1:19" s="1" customFormat="1" ht="15.6" x14ac:dyDescent="0.3">
      <c r="A11" s="34"/>
      <c r="B11" s="8"/>
      <c r="C11" s="9">
        <v>200</v>
      </c>
      <c r="D11" s="9">
        <v>149</v>
      </c>
      <c r="E11" s="9">
        <v>149</v>
      </c>
      <c r="F11" s="9">
        <v>149</v>
      </c>
      <c r="G11" s="9">
        <v>112</v>
      </c>
      <c r="H11" s="9">
        <v>80</v>
      </c>
      <c r="I11" s="9">
        <v>57</v>
      </c>
      <c r="J11" s="9">
        <v>19</v>
      </c>
      <c r="K11" s="9">
        <v>8</v>
      </c>
      <c r="L11" s="9"/>
      <c r="M11" s="9"/>
      <c r="N11" s="9"/>
      <c r="O11" s="17" t="s">
        <v>32</v>
      </c>
      <c r="P11" s="10"/>
      <c r="Q11" s="2"/>
      <c r="R11" s="3"/>
      <c r="S11" s="4"/>
    </row>
    <row r="12" spans="1:19" s="1" customFormat="1" ht="15.6" x14ac:dyDescent="0.3">
      <c r="A12" s="34"/>
      <c r="B12" s="8"/>
      <c r="C12" s="9">
        <v>0.1</v>
      </c>
      <c r="D12" s="9">
        <v>0.1</v>
      </c>
      <c r="E12" s="9">
        <v>0.1</v>
      </c>
      <c r="F12" s="9">
        <v>0.1</v>
      </c>
      <c r="G12" s="9">
        <v>0.1</v>
      </c>
      <c r="H12" s="9">
        <v>0.1</v>
      </c>
      <c r="I12" s="9">
        <v>0.1</v>
      </c>
      <c r="J12" s="9">
        <v>0.1</v>
      </c>
      <c r="K12" s="9">
        <v>0.1</v>
      </c>
      <c r="L12" s="9"/>
      <c r="M12" s="9"/>
      <c r="N12" s="9"/>
      <c r="O12" s="17" t="s">
        <v>3</v>
      </c>
      <c r="P12" s="10"/>
      <c r="Q12" s="2"/>
      <c r="R12" s="3"/>
      <c r="S12" s="4"/>
    </row>
    <row r="13" spans="1:19" s="1" customFormat="1" ht="15.6" x14ac:dyDescent="0.3">
      <c r="A13" s="34"/>
      <c r="B13" s="11"/>
      <c r="C13" s="9">
        <v>5</v>
      </c>
      <c r="D13" s="9">
        <v>3</v>
      </c>
      <c r="E13" s="9">
        <v>3</v>
      </c>
      <c r="F13" s="9">
        <v>3</v>
      </c>
      <c r="G13" s="9">
        <v>3</v>
      </c>
      <c r="H13" s="9">
        <v>2</v>
      </c>
      <c r="I13" s="9">
        <v>2</v>
      </c>
      <c r="J13" s="9">
        <v>2</v>
      </c>
      <c r="K13" s="9">
        <v>2</v>
      </c>
      <c r="L13" s="9"/>
      <c r="M13" s="9"/>
      <c r="N13" s="9"/>
      <c r="O13" s="17" t="s">
        <v>33</v>
      </c>
      <c r="P13" s="10"/>
      <c r="Q13" s="2"/>
      <c r="R13" s="3"/>
      <c r="S13" s="4"/>
    </row>
    <row r="14" spans="1:19" s="1" customForma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8"/>
      <c r="P14" s="2"/>
      <c r="Q14" s="2"/>
      <c r="R14" s="3"/>
      <c r="S14" s="4"/>
    </row>
    <row r="15" spans="1:19" s="1" customForma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8"/>
      <c r="P15" s="2"/>
      <c r="Q15" s="2"/>
      <c r="R15" s="3"/>
      <c r="S15" s="4"/>
    </row>
    <row r="16" spans="1:19" s="1" customForma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3"/>
      <c r="S16" s="4"/>
    </row>
    <row r="17" spans="1:19" s="1" customForma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3"/>
      <c r="S17" s="4"/>
    </row>
    <row r="18" spans="1:19" s="1" customForma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3"/>
      <c r="S18" s="4"/>
    </row>
    <row r="19" spans="1:19" s="1" customForma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3"/>
      <c r="S19" s="4"/>
    </row>
    <row r="20" spans="1:19" s="1" customForma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3"/>
      <c r="S20" s="4"/>
    </row>
    <row r="21" spans="1:19" s="1" customForma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3"/>
      <c r="S21" s="4"/>
    </row>
    <row r="22" spans="1:19" s="1" customForma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3"/>
      <c r="S22" s="4"/>
    </row>
    <row r="23" spans="1:19" s="1" customForma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3"/>
      <c r="S23" s="4"/>
    </row>
    <row r="24" spans="1:19" s="1" customForma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3"/>
      <c r="S24" s="4"/>
    </row>
    <row r="25" spans="1:19" s="1" customForma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3"/>
      <c r="S25" s="4"/>
    </row>
    <row r="26" spans="1:19" s="1" customForma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3"/>
      <c r="S26" s="4"/>
    </row>
    <row r="27" spans="1:19" s="1" customForma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3"/>
      <c r="S27" s="4"/>
    </row>
    <row r="28" spans="1:19" s="1" customForma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3"/>
      <c r="S28" s="4"/>
    </row>
    <row r="29" spans="1:19" s="1" customForma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3"/>
      <c r="S29" s="4"/>
    </row>
    <row r="30" spans="1:19" s="1" customForma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3"/>
      <c r="S30" s="4"/>
    </row>
    <row r="31" spans="1:19" s="1" customForma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3"/>
      <c r="S31" s="4"/>
    </row>
    <row r="32" spans="1:19" s="1" customForma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3"/>
      <c r="S32" s="4"/>
    </row>
    <row r="33" spans="1:19" s="1" customForma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3"/>
      <c r="S33" s="4"/>
    </row>
    <row r="34" spans="1:19" s="1" customForma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3"/>
      <c r="S34" s="4"/>
    </row>
    <row r="35" spans="1:19" s="1" customForma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3"/>
      <c r="S35" s="4"/>
    </row>
    <row r="36" spans="1:19" s="1" customForma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3"/>
      <c r="S36" s="4"/>
    </row>
    <row r="37" spans="1:19" s="1" customForma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3"/>
      <c r="S37" s="4"/>
    </row>
    <row r="38" spans="1:19" s="1" customForma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3"/>
      <c r="S38" s="4"/>
    </row>
    <row r="39" spans="1:19" s="1" customForma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3"/>
      <c r="S39" s="4"/>
    </row>
    <row r="40" spans="1:19" s="1" customForma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3"/>
      <c r="S40" s="4"/>
    </row>
    <row r="41" spans="1:19" s="1" customForma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3"/>
      <c r="S41" s="4"/>
    </row>
    <row r="42" spans="1:19" s="1" customForma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3"/>
      <c r="S42" s="4"/>
    </row>
    <row r="43" spans="1:19" s="1" customForma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3"/>
      <c r="S43" s="4"/>
    </row>
    <row r="44" spans="1:19" s="1" customForma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3"/>
      <c r="S44" s="4"/>
    </row>
    <row r="45" spans="1:19" s="1" customForma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3"/>
      <c r="S45" s="4"/>
    </row>
    <row r="46" spans="1:19" s="1" customForma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3"/>
      <c r="S46" s="4"/>
    </row>
    <row r="47" spans="1:19" s="1" customForma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3"/>
      <c r="S47" s="4"/>
    </row>
    <row r="48" spans="1:19" s="1" customForma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3"/>
      <c r="S48" s="4"/>
    </row>
    <row r="49" spans="1:19" s="1" customForma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3"/>
      <c r="S49" s="4"/>
    </row>
    <row r="50" spans="1:19" s="1" customForma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3"/>
      <c r="S50" s="4"/>
    </row>
    <row r="51" spans="1:19" s="1" customForma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3"/>
      <c r="S51" s="4"/>
    </row>
    <row r="52" spans="1:19" s="1" customForma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3"/>
      <c r="S52" s="4"/>
    </row>
    <row r="53" spans="1:19" s="1" customForma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3"/>
      <c r="S53" s="4"/>
    </row>
    <row r="54" spans="1:19" s="1" customForma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3"/>
      <c r="S54" s="4"/>
    </row>
    <row r="55" spans="1:19" s="1" customForma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3"/>
      <c r="S55" s="4"/>
    </row>
    <row r="56" spans="1:19" s="1" customForma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3"/>
      <c r="S56" s="4"/>
    </row>
    <row r="57" spans="1:19" s="1" customForma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3"/>
      <c r="S57" s="4"/>
    </row>
    <row r="58" spans="1:19" s="1" customForma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3"/>
      <c r="S58" s="4"/>
    </row>
    <row r="59" spans="1:19" s="1" customForma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3"/>
      <c r="S59" s="4"/>
    </row>
    <row r="60" spans="1:19" s="1" customForma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3"/>
      <c r="S60" s="4"/>
    </row>
    <row r="61" spans="1:19" s="1" customForma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3"/>
      <c r="S61" s="4"/>
    </row>
    <row r="62" spans="1:19" s="1" customForma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3"/>
      <c r="S62" s="4"/>
    </row>
    <row r="63" spans="1:19" s="1" customForma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3"/>
      <c r="S63" s="4"/>
    </row>
    <row r="64" spans="1:19" s="1" customForma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3"/>
      <c r="S64" s="4"/>
    </row>
    <row r="65" spans="1:19" s="1" customForma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3"/>
      <c r="S65" s="4"/>
    </row>
    <row r="66" spans="1:19" s="1" customForma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3"/>
      <c r="S66" s="4"/>
    </row>
    <row r="67" spans="1:19" s="1" customForma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3"/>
      <c r="S67" s="4"/>
    </row>
    <row r="68" spans="1:19" s="1" customForma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3"/>
      <c r="S68" s="4"/>
    </row>
    <row r="69" spans="1:19" s="1" customForma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3"/>
      <c r="S69" s="4"/>
    </row>
    <row r="70" spans="1:19" s="1" customForma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3"/>
      <c r="S70" s="4"/>
    </row>
    <row r="71" spans="1:19" s="1" customForma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3"/>
      <c r="S71" s="4"/>
    </row>
    <row r="72" spans="1:19" s="1" customForma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3"/>
      <c r="S72" s="4"/>
    </row>
    <row r="73" spans="1:19" s="1" customForma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3"/>
      <c r="S73" s="4"/>
    </row>
    <row r="74" spans="1:19" s="1" customForma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3"/>
      <c r="S74" s="4"/>
    </row>
    <row r="75" spans="1:19" s="1" customForma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3"/>
      <c r="S75" s="4"/>
    </row>
    <row r="76" spans="1:19" s="1" customForma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3"/>
      <c r="S76" s="4"/>
    </row>
    <row r="77" spans="1:19" s="1" customForma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3"/>
      <c r="S77" s="4"/>
    </row>
    <row r="78" spans="1:19" s="1" customForma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3"/>
      <c r="S78" s="4"/>
    </row>
    <row r="79" spans="1:19" s="1" customForma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3"/>
      <c r="S79" s="4"/>
    </row>
    <row r="80" spans="1:19" s="1" customForma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3"/>
      <c r="S80" s="4"/>
    </row>
    <row r="81" spans="1:19" s="1" customForma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3"/>
      <c r="S81" s="4"/>
    </row>
    <row r="82" spans="1:19" s="1" customForma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3"/>
      <c r="S82" s="4"/>
    </row>
    <row r="83" spans="1:19" s="1" customForma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3"/>
      <c r="S83" s="4"/>
    </row>
    <row r="84" spans="1:19" s="1" customForma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3"/>
      <c r="S84" s="4"/>
    </row>
    <row r="85" spans="1:19" s="1" customForma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3"/>
      <c r="S85" s="4"/>
    </row>
    <row r="86" spans="1:19" s="1" customForma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3"/>
      <c r="S86" s="4"/>
    </row>
    <row r="87" spans="1:19" s="1" customForma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3"/>
      <c r="S87" s="4"/>
    </row>
    <row r="88" spans="1:19" s="1" customForma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3"/>
      <c r="S88" s="4"/>
    </row>
    <row r="89" spans="1:19" s="1" customForma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3"/>
      <c r="S89" s="4"/>
    </row>
    <row r="90" spans="1:19" s="1" customForma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3"/>
      <c r="S90" s="4"/>
    </row>
    <row r="91" spans="1:19" s="1" customForma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3"/>
      <c r="S91" s="4"/>
    </row>
    <row r="92" spans="1:19" s="1" customForma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3"/>
      <c r="S92" s="4"/>
    </row>
    <row r="93" spans="1:19" s="1" customForma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3"/>
      <c r="S93" s="4"/>
    </row>
    <row r="94" spans="1:19" s="1" customForma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3"/>
      <c r="S94" s="4"/>
    </row>
    <row r="95" spans="1:19" s="1" customForma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3"/>
      <c r="S95" s="4"/>
    </row>
    <row r="96" spans="1:19" s="1" customForma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3"/>
      <c r="S96" s="4"/>
    </row>
    <row r="97" spans="1:19" s="1" customForma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3"/>
      <c r="S97" s="4"/>
    </row>
    <row r="98" spans="1:19" s="1" customForma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3"/>
      <c r="S98" s="4"/>
    </row>
    <row r="99" spans="1:19" s="1" customForma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3"/>
      <c r="S99" s="4"/>
    </row>
    <row r="100" spans="1:19" s="1" customForma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3"/>
      <c r="S100" s="4"/>
    </row>
    <row r="101" spans="1:19" s="1" customForma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3"/>
      <c r="S101" s="4"/>
    </row>
    <row r="102" spans="1:19" s="1" customForma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3"/>
      <c r="S102" s="4"/>
    </row>
    <row r="103" spans="1:19" s="1" customForma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3"/>
      <c r="S103" s="4"/>
    </row>
    <row r="104" spans="1:19" s="1" customForma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3"/>
      <c r="S104" s="4"/>
    </row>
    <row r="105" spans="1:19" s="1" customForma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3"/>
      <c r="S105" s="4"/>
    </row>
    <row r="106" spans="1:19" s="1" customForma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3"/>
      <c r="S106" s="4"/>
    </row>
    <row r="107" spans="1:19" s="1" customForma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3"/>
      <c r="S107" s="4"/>
    </row>
    <row r="108" spans="1:19" s="1" customForma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3"/>
      <c r="S108" s="4"/>
    </row>
    <row r="109" spans="1:19" s="1" customForma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3"/>
      <c r="S109" s="4"/>
    </row>
    <row r="110" spans="1:19" s="1" customForma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3"/>
      <c r="S110" s="4"/>
    </row>
    <row r="111" spans="1:19" s="1" customForma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3"/>
      <c r="S111" s="4"/>
    </row>
    <row r="112" spans="1:19" s="1" customForma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3"/>
      <c r="S112" s="4"/>
    </row>
    <row r="113" spans="1:19" s="1" customForma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3"/>
      <c r="S113" s="4"/>
    </row>
    <row r="114" spans="1:19" s="1" customForma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13"/>
      <c r="S114" s="14"/>
    </row>
    <row r="115" spans="1:19" s="1" customForma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/>
      <c r="S115"/>
    </row>
    <row r="116" spans="1:19" s="1" customForma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/>
      <c r="S116"/>
    </row>
    <row r="117" spans="1:19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9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9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9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1:19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1:19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9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1:19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9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9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9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9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</sheetData>
  <mergeCells count="3">
    <mergeCell ref="A1:S2"/>
    <mergeCell ref="A6:A9"/>
    <mergeCell ref="A10:A13"/>
  </mergeCells>
  <conditionalFormatting sqref="C6:P13">
    <cfRule type="cellIs" dxfId="23" priority="1" operator="greaterThan">
      <formula>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7526F-8AFD-4B0E-9842-38DB70D464BD}">
  <dimension ref="A1:U131"/>
  <sheetViews>
    <sheetView zoomScale="40" zoomScaleNormal="40" workbookViewId="0">
      <selection activeCell="Y6" sqref="Y6"/>
    </sheetView>
  </sheetViews>
  <sheetFormatPr defaultRowHeight="14.4" x14ac:dyDescent="0.3"/>
  <cols>
    <col min="2" max="2" width="53.5546875" customWidth="1"/>
    <col min="17" max="17" width="1.88671875" customWidth="1"/>
    <col min="18" max="19" width="8.88671875" hidden="1" customWidth="1"/>
    <col min="20" max="21" width="8.88671875" style="1"/>
  </cols>
  <sheetData>
    <row r="1" spans="1:19" x14ac:dyDescent="0.3">
      <c r="A1" s="33" t="s">
        <v>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19" ht="30.6" customHeight="1" x14ac:dyDescent="0.3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19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4"/>
    </row>
    <row r="4" spans="1:19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/>
      <c r="S4" s="4"/>
    </row>
    <row r="5" spans="1:19" ht="15.6" x14ac:dyDescent="0.3">
      <c r="A5" s="2"/>
      <c r="B5" s="2"/>
      <c r="C5" s="6" t="s">
        <v>19</v>
      </c>
      <c r="D5" s="6" t="s">
        <v>20</v>
      </c>
      <c r="E5" s="6" t="s">
        <v>21</v>
      </c>
      <c r="F5" s="6" t="s">
        <v>22</v>
      </c>
      <c r="G5" s="6" t="s">
        <v>23</v>
      </c>
      <c r="H5" s="6" t="s">
        <v>24</v>
      </c>
      <c r="I5" s="6" t="s">
        <v>25</v>
      </c>
      <c r="J5" s="6" t="s">
        <v>26</v>
      </c>
      <c r="K5" s="6" t="s">
        <v>27</v>
      </c>
      <c r="L5" s="6" t="s">
        <v>28</v>
      </c>
      <c r="M5" s="6" t="s">
        <v>29</v>
      </c>
      <c r="N5" s="6" t="s">
        <v>30</v>
      </c>
      <c r="O5" s="7"/>
      <c r="P5" s="7"/>
      <c r="Q5" s="2"/>
      <c r="R5" s="3"/>
      <c r="S5" s="4"/>
    </row>
    <row r="6" spans="1:19" s="1" customFormat="1" ht="15.6" x14ac:dyDescent="0.3">
      <c r="A6" s="34" t="s">
        <v>41</v>
      </c>
      <c r="B6" s="8"/>
      <c r="C6" s="9">
        <v>0.08</v>
      </c>
      <c r="D6" s="9">
        <v>0.08</v>
      </c>
      <c r="E6" s="9">
        <v>0.08</v>
      </c>
      <c r="F6" s="9">
        <v>0.08</v>
      </c>
      <c r="G6" s="9">
        <v>0.08</v>
      </c>
      <c r="H6" s="9">
        <v>0.08</v>
      </c>
      <c r="I6" s="9">
        <v>0.08</v>
      </c>
      <c r="J6" s="9">
        <v>0.08</v>
      </c>
      <c r="K6" s="9">
        <v>0.08</v>
      </c>
      <c r="L6" s="9">
        <v>0.08</v>
      </c>
      <c r="M6" s="9">
        <v>0.08</v>
      </c>
      <c r="N6" s="9">
        <v>0.08</v>
      </c>
      <c r="O6" s="17" t="s">
        <v>31</v>
      </c>
      <c r="P6" s="10"/>
      <c r="Q6" s="2"/>
      <c r="R6" s="3"/>
      <c r="S6" s="4"/>
    </row>
    <row r="7" spans="1:19" s="1" customFormat="1" ht="15.6" x14ac:dyDescent="0.3">
      <c r="A7" s="34"/>
      <c r="B7" s="8"/>
      <c r="C7" s="9">
        <v>14</v>
      </c>
      <c r="D7" s="9">
        <v>8</v>
      </c>
      <c r="E7" s="9">
        <v>0.4</v>
      </c>
      <c r="F7" s="9">
        <v>0.4</v>
      </c>
      <c r="G7" s="9">
        <v>0.4</v>
      </c>
      <c r="H7" s="9">
        <v>0.4</v>
      </c>
      <c r="I7" s="9">
        <v>0.4</v>
      </c>
      <c r="J7" s="9">
        <v>0.4</v>
      </c>
      <c r="K7" s="9">
        <v>0.4</v>
      </c>
      <c r="L7" s="9">
        <v>0.4</v>
      </c>
      <c r="M7" s="9">
        <v>0.4</v>
      </c>
      <c r="N7" s="9">
        <v>0.4</v>
      </c>
      <c r="O7" s="17" t="s">
        <v>32</v>
      </c>
      <c r="P7" s="10"/>
      <c r="Q7" s="2"/>
      <c r="R7" s="3"/>
      <c r="S7" s="4"/>
    </row>
    <row r="8" spans="1:19" s="1" customFormat="1" ht="15.6" x14ac:dyDescent="0.3">
      <c r="A8" s="34"/>
      <c r="B8" s="8"/>
      <c r="C8" s="9">
        <v>5</v>
      </c>
      <c r="D8" s="9">
        <v>5</v>
      </c>
      <c r="E8" s="9">
        <v>3</v>
      </c>
      <c r="F8" s="9">
        <v>1</v>
      </c>
      <c r="G8" s="9">
        <v>0.26</v>
      </c>
      <c r="H8" s="9">
        <v>0.26</v>
      </c>
      <c r="I8" s="9">
        <v>0.26</v>
      </c>
      <c r="J8" s="9">
        <v>0.26</v>
      </c>
      <c r="K8" s="9">
        <v>0.26</v>
      </c>
      <c r="L8" s="9">
        <v>0.26</v>
      </c>
      <c r="M8" s="9">
        <v>0.26</v>
      </c>
      <c r="N8" s="9">
        <v>0.26</v>
      </c>
      <c r="O8" s="17" t="s">
        <v>3</v>
      </c>
      <c r="P8" s="10"/>
      <c r="Q8" s="2"/>
      <c r="R8" s="3"/>
      <c r="S8" s="4"/>
    </row>
    <row r="9" spans="1:19" s="1" customFormat="1" ht="15.6" x14ac:dyDescent="0.3">
      <c r="A9" s="34"/>
      <c r="B9" s="11"/>
      <c r="C9" s="9">
        <v>0.08</v>
      </c>
      <c r="D9" s="9">
        <v>0.08</v>
      </c>
      <c r="E9" s="9">
        <v>0.08</v>
      </c>
      <c r="F9" s="9">
        <v>0.08</v>
      </c>
      <c r="G9" s="9">
        <v>0.08</v>
      </c>
      <c r="H9" s="9">
        <v>0.08</v>
      </c>
      <c r="I9" s="9">
        <v>0.08</v>
      </c>
      <c r="J9" s="9">
        <v>0.08</v>
      </c>
      <c r="K9" s="9">
        <v>0.08</v>
      </c>
      <c r="L9" s="9">
        <v>0.08</v>
      </c>
      <c r="M9" s="9">
        <v>0.08</v>
      </c>
      <c r="N9" s="9">
        <v>0.08</v>
      </c>
      <c r="O9" s="17" t="s">
        <v>33</v>
      </c>
      <c r="P9" s="10"/>
      <c r="Q9" s="2"/>
      <c r="R9" s="3"/>
      <c r="S9" s="4"/>
    </row>
    <row r="10" spans="1:19" s="1" customFormat="1" ht="15.6" x14ac:dyDescent="0.3">
      <c r="A10" s="34" t="s">
        <v>42</v>
      </c>
      <c r="B10" s="8"/>
      <c r="C10" s="9">
        <v>0.05</v>
      </c>
      <c r="D10" s="9">
        <v>1</v>
      </c>
      <c r="E10" s="9">
        <v>1</v>
      </c>
      <c r="F10" s="9">
        <v>0.05</v>
      </c>
      <c r="G10" s="9">
        <v>0.05</v>
      </c>
      <c r="H10" s="9">
        <v>0.05</v>
      </c>
      <c r="I10" s="9">
        <v>0.05</v>
      </c>
      <c r="J10" s="9">
        <v>0.05</v>
      </c>
      <c r="K10" s="9">
        <v>0.05</v>
      </c>
      <c r="L10" s="9"/>
      <c r="M10" s="9"/>
      <c r="N10" s="9"/>
      <c r="O10" s="17" t="s">
        <v>31</v>
      </c>
      <c r="P10" s="10"/>
      <c r="Q10" s="2"/>
      <c r="R10" s="3"/>
      <c r="S10" s="4"/>
    </row>
    <row r="11" spans="1:19" s="1" customFormat="1" ht="15.6" x14ac:dyDescent="0.3">
      <c r="A11" s="34"/>
      <c r="B11" s="8"/>
      <c r="C11" s="9">
        <v>14</v>
      </c>
      <c r="D11" s="9">
        <v>5</v>
      </c>
      <c r="E11" s="9">
        <v>5</v>
      </c>
      <c r="F11" s="9">
        <v>5</v>
      </c>
      <c r="G11" s="9">
        <v>4</v>
      </c>
      <c r="H11" s="9">
        <v>3</v>
      </c>
      <c r="I11" s="9">
        <v>3</v>
      </c>
      <c r="J11" s="9">
        <v>3</v>
      </c>
      <c r="K11" s="9">
        <v>4</v>
      </c>
      <c r="L11" s="9"/>
      <c r="M11" s="9"/>
      <c r="N11" s="9"/>
      <c r="O11" s="17" t="s">
        <v>32</v>
      </c>
      <c r="P11" s="10"/>
      <c r="Q11" s="2"/>
      <c r="R11" s="3"/>
      <c r="S11" s="4"/>
    </row>
    <row r="12" spans="1:19" s="1" customFormat="1" ht="15.6" x14ac:dyDescent="0.3">
      <c r="A12" s="34"/>
      <c r="B12" s="8"/>
      <c r="C12" s="9">
        <v>5</v>
      </c>
      <c r="D12" s="9">
        <v>5</v>
      </c>
      <c r="E12" s="9">
        <v>5</v>
      </c>
      <c r="F12" s="9">
        <v>5</v>
      </c>
      <c r="G12" s="9">
        <v>5</v>
      </c>
      <c r="H12" s="9">
        <v>3</v>
      </c>
      <c r="I12" s="9">
        <v>2</v>
      </c>
      <c r="J12" s="9">
        <v>3</v>
      </c>
      <c r="K12" s="9">
        <v>3</v>
      </c>
      <c r="L12" s="9"/>
      <c r="M12" s="9"/>
      <c r="N12" s="9"/>
      <c r="O12" s="17" t="s">
        <v>3</v>
      </c>
      <c r="P12" s="10"/>
      <c r="Q12" s="2"/>
      <c r="R12" s="3"/>
      <c r="S12" s="4"/>
    </row>
    <row r="13" spans="1:19" s="1" customFormat="1" ht="15.6" x14ac:dyDescent="0.3">
      <c r="A13" s="34"/>
      <c r="B13" s="11"/>
      <c r="C13" s="9">
        <v>0.05</v>
      </c>
      <c r="D13" s="9">
        <v>0.05</v>
      </c>
      <c r="E13" s="9">
        <v>0.05</v>
      </c>
      <c r="F13" s="9">
        <v>0.05</v>
      </c>
      <c r="G13" s="9">
        <v>0.05</v>
      </c>
      <c r="H13" s="9">
        <v>0.05</v>
      </c>
      <c r="I13" s="9">
        <v>0.05</v>
      </c>
      <c r="J13" s="9">
        <v>0.05</v>
      </c>
      <c r="K13" s="9">
        <v>0.05</v>
      </c>
      <c r="L13" s="9"/>
      <c r="M13" s="9"/>
      <c r="N13" s="9"/>
      <c r="O13" s="17" t="s">
        <v>33</v>
      </c>
      <c r="P13" s="10"/>
      <c r="Q13" s="2"/>
      <c r="R13" s="3"/>
      <c r="S13" s="4"/>
    </row>
    <row r="14" spans="1:19" s="1" customForma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3"/>
      <c r="S14" s="4"/>
    </row>
    <row r="15" spans="1:19" s="1" customForma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3"/>
      <c r="S15" s="4"/>
    </row>
    <row r="16" spans="1:19" s="1" customForma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3"/>
      <c r="S16" s="4"/>
    </row>
    <row r="17" spans="1:19" s="1" customForma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3"/>
      <c r="S17" s="4"/>
    </row>
    <row r="18" spans="1:19" s="1" customForma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3"/>
      <c r="S18" s="4"/>
    </row>
    <row r="19" spans="1:19" s="1" customForma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3"/>
      <c r="S19" s="4"/>
    </row>
    <row r="20" spans="1:19" s="1" customForma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3"/>
      <c r="S20" s="4"/>
    </row>
    <row r="21" spans="1:19" s="1" customForma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3"/>
      <c r="S21" s="4"/>
    </row>
    <row r="22" spans="1:19" s="1" customForma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3"/>
      <c r="S22" s="4"/>
    </row>
    <row r="23" spans="1:19" s="1" customForma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3"/>
      <c r="S23" s="4"/>
    </row>
    <row r="24" spans="1:19" s="1" customForma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3"/>
      <c r="S24" s="4"/>
    </row>
    <row r="25" spans="1:19" s="1" customForma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3"/>
      <c r="S25" s="4"/>
    </row>
    <row r="26" spans="1:19" s="1" customForma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3"/>
      <c r="S26" s="4"/>
    </row>
    <row r="27" spans="1:19" s="1" customForma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3"/>
      <c r="S27" s="4"/>
    </row>
    <row r="28" spans="1:19" s="1" customForma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3"/>
      <c r="S28" s="4"/>
    </row>
    <row r="29" spans="1:19" s="1" customForma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3"/>
      <c r="S29" s="4"/>
    </row>
    <row r="30" spans="1:19" s="1" customForma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3"/>
      <c r="S30" s="4"/>
    </row>
    <row r="31" spans="1:19" s="1" customForma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3"/>
      <c r="S31" s="4"/>
    </row>
    <row r="32" spans="1:19" s="1" customForma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3"/>
      <c r="S32" s="4"/>
    </row>
    <row r="33" spans="1:19" s="1" customForma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3"/>
      <c r="S33" s="4"/>
    </row>
    <row r="34" spans="1:19" s="1" customForma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3"/>
      <c r="S34" s="4"/>
    </row>
    <row r="35" spans="1:19" s="1" customForma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3"/>
      <c r="S35" s="4"/>
    </row>
    <row r="36" spans="1:19" s="1" customForma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3"/>
      <c r="S36" s="4"/>
    </row>
    <row r="37" spans="1:19" s="1" customForma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3"/>
      <c r="S37" s="4"/>
    </row>
    <row r="38" spans="1:19" s="1" customForma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3"/>
      <c r="S38" s="4"/>
    </row>
    <row r="39" spans="1:19" s="1" customForma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3"/>
      <c r="S39" s="4"/>
    </row>
    <row r="40" spans="1:19" s="1" customForma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3"/>
      <c r="S40" s="4"/>
    </row>
    <row r="41" spans="1:19" s="1" customForma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3"/>
      <c r="S41" s="4"/>
    </row>
    <row r="42" spans="1:19" s="1" customForma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3"/>
      <c r="S42" s="4"/>
    </row>
    <row r="43" spans="1:19" s="1" customForma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3"/>
      <c r="S43" s="4"/>
    </row>
    <row r="44" spans="1:19" s="1" customForma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3"/>
      <c r="S44" s="4"/>
    </row>
    <row r="45" spans="1:19" s="1" customForma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3"/>
      <c r="S45" s="4"/>
    </row>
    <row r="46" spans="1:19" s="1" customForma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3"/>
      <c r="S46" s="4"/>
    </row>
    <row r="47" spans="1:19" s="1" customForma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3"/>
      <c r="S47" s="4"/>
    </row>
    <row r="48" spans="1:19" s="1" customForma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3"/>
      <c r="S48" s="4"/>
    </row>
    <row r="49" spans="1:19" s="1" customForma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3"/>
      <c r="S49" s="4"/>
    </row>
    <row r="50" spans="1:19" s="1" customForma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3"/>
      <c r="S50" s="4"/>
    </row>
    <row r="51" spans="1:19" s="1" customForma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3"/>
      <c r="S51" s="4"/>
    </row>
    <row r="52" spans="1:19" s="1" customForma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3"/>
      <c r="S52" s="4"/>
    </row>
    <row r="53" spans="1:19" s="1" customForma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3"/>
      <c r="S53" s="4"/>
    </row>
    <row r="54" spans="1:19" s="1" customForma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3"/>
      <c r="S54" s="4"/>
    </row>
    <row r="55" spans="1:19" s="1" customForma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3"/>
      <c r="S55" s="4"/>
    </row>
    <row r="56" spans="1:19" s="1" customForma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3"/>
      <c r="S56" s="4"/>
    </row>
    <row r="57" spans="1:19" s="1" customForma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3"/>
      <c r="S57" s="4"/>
    </row>
    <row r="58" spans="1:19" s="1" customForma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3"/>
      <c r="S58" s="4"/>
    </row>
    <row r="59" spans="1:19" s="1" customForma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3"/>
      <c r="S59" s="4"/>
    </row>
    <row r="60" spans="1:19" s="1" customForma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3"/>
      <c r="S60" s="4"/>
    </row>
    <row r="61" spans="1:19" s="1" customForma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3"/>
      <c r="S61" s="4"/>
    </row>
    <row r="62" spans="1:19" s="1" customForma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3"/>
      <c r="S62" s="4"/>
    </row>
    <row r="63" spans="1:19" s="1" customForma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3"/>
      <c r="S63" s="4"/>
    </row>
    <row r="64" spans="1:19" s="1" customForma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3"/>
      <c r="S64" s="4"/>
    </row>
    <row r="65" spans="1:19" s="1" customForma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3"/>
      <c r="S65" s="4"/>
    </row>
    <row r="66" spans="1:19" s="1" customForma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3"/>
      <c r="S66" s="4"/>
    </row>
    <row r="67" spans="1:19" s="1" customForma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3"/>
      <c r="S67" s="4"/>
    </row>
    <row r="68" spans="1:19" s="1" customForma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3"/>
      <c r="S68" s="4"/>
    </row>
    <row r="69" spans="1:19" s="1" customForma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3"/>
      <c r="S69" s="4"/>
    </row>
    <row r="70" spans="1:19" s="1" customForma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3"/>
      <c r="S70" s="4"/>
    </row>
    <row r="71" spans="1:19" s="1" customForma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3"/>
      <c r="S71" s="4"/>
    </row>
    <row r="72" spans="1:19" s="1" customForma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3"/>
      <c r="S72" s="4"/>
    </row>
    <row r="73" spans="1:19" s="1" customForma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3"/>
      <c r="S73" s="4"/>
    </row>
    <row r="74" spans="1:19" s="1" customForma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3"/>
      <c r="S74" s="4"/>
    </row>
    <row r="75" spans="1:19" s="1" customForma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3"/>
      <c r="S75" s="4"/>
    </row>
    <row r="76" spans="1:19" s="1" customForma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3"/>
      <c r="S76" s="4"/>
    </row>
    <row r="77" spans="1:19" s="1" customForma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3"/>
      <c r="S77" s="4"/>
    </row>
    <row r="78" spans="1:19" s="1" customForma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3"/>
      <c r="S78" s="4"/>
    </row>
    <row r="79" spans="1:19" s="1" customForma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3"/>
      <c r="S79" s="4"/>
    </row>
    <row r="80" spans="1:19" s="1" customForma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3"/>
      <c r="S80" s="4"/>
    </row>
    <row r="81" spans="1:19" s="1" customForma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3"/>
      <c r="S81" s="4"/>
    </row>
    <row r="82" spans="1:19" s="1" customForma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3"/>
      <c r="S82" s="4"/>
    </row>
    <row r="83" spans="1:19" s="1" customForma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3"/>
      <c r="S83" s="4"/>
    </row>
    <row r="84" spans="1:19" s="1" customForma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3"/>
      <c r="S84" s="4"/>
    </row>
    <row r="85" spans="1:19" s="1" customForma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3"/>
      <c r="S85" s="4"/>
    </row>
    <row r="86" spans="1:19" s="1" customForma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3"/>
      <c r="S86" s="4"/>
    </row>
    <row r="87" spans="1:19" s="1" customForma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3"/>
      <c r="S87" s="4"/>
    </row>
    <row r="88" spans="1:19" s="1" customForma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3"/>
      <c r="S88" s="4"/>
    </row>
    <row r="89" spans="1:19" s="1" customForma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3"/>
      <c r="S89" s="4"/>
    </row>
    <row r="90" spans="1:19" s="1" customForma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3"/>
      <c r="S90" s="4"/>
    </row>
    <row r="91" spans="1:19" s="1" customForma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3"/>
      <c r="S91" s="4"/>
    </row>
    <row r="92" spans="1:19" s="1" customForma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3"/>
      <c r="S92" s="4"/>
    </row>
    <row r="93" spans="1:19" s="1" customForma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3"/>
      <c r="S93" s="4"/>
    </row>
    <row r="94" spans="1:19" s="1" customForma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3"/>
      <c r="S94" s="4"/>
    </row>
    <row r="95" spans="1:19" s="1" customForma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3"/>
      <c r="S95" s="4"/>
    </row>
    <row r="96" spans="1:19" s="1" customForma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3"/>
      <c r="S96" s="4"/>
    </row>
    <row r="97" spans="1:19" s="1" customForma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3"/>
      <c r="S97" s="4"/>
    </row>
    <row r="98" spans="1:19" s="1" customForma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3"/>
      <c r="S98" s="4"/>
    </row>
    <row r="99" spans="1:19" s="1" customForma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3"/>
      <c r="S99" s="4"/>
    </row>
    <row r="100" spans="1:19" s="1" customForma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3"/>
      <c r="S100" s="4"/>
    </row>
    <row r="101" spans="1:19" s="1" customForma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3"/>
      <c r="S101" s="4"/>
    </row>
    <row r="102" spans="1:19" s="1" customForma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3"/>
      <c r="S102" s="4"/>
    </row>
    <row r="103" spans="1:19" s="1" customForma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3"/>
      <c r="S103" s="4"/>
    </row>
    <row r="104" spans="1:19" s="1" customForma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3"/>
      <c r="S104" s="4"/>
    </row>
    <row r="105" spans="1:19" s="1" customForma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3"/>
      <c r="S105" s="4"/>
    </row>
    <row r="106" spans="1:19" s="1" customForma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3"/>
      <c r="S106" s="4"/>
    </row>
    <row r="107" spans="1:19" s="1" customForma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3"/>
      <c r="S107" s="4"/>
    </row>
    <row r="108" spans="1:19" s="1" customForma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3"/>
      <c r="S108" s="4"/>
    </row>
    <row r="109" spans="1:19" s="1" customForma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3"/>
      <c r="S109" s="4"/>
    </row>
    <row r="110" spans="1:19" s="1" customForma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3"/>
      <c r="S110" s="4"/>
    </row>
    <row r="111" spans="1:19" s="1" customForma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3"/>
      <c r="S111" s="4"/>
    </row>
    <row r="112" spans="1:19" s="1" customForma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3"/>
      <c r="S112" s="4"/>
    </row>
    <row r="113" spans="1:19" s="1" customForma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3"/>
      <c r="S113" s="4"/>
    </row>
    <row r="114" spans="1:19" s="1" customForma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13"/>
      <c r="S114" s="14"/>
    </row>
    <row r="115" spans="1:19" s="1" customForma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/>
      <c r="S115"/>
    </row>
    <row r="116" spans="1:19" s="1" customForma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/>
      <c r="S116"/>
    </row>
    <row r="117" spans="1:19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9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9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9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1:19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1:19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9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1:19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9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9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9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9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</sheetData>
  <mergeCells count="3">
    <mergeCell ref="A1:S2"/>
    <mergeCell ref="A6:A9"/>
    <mergeCell ref="A10:A13"/>
  </mergeCells>
  <conditionalFormatting sqref="C6:P13">
    <cfRule type="cellIs" dxfId="22" priority="1" operator="greaterThan">
      <formula>0</formula>
    </cfRule>
  </conditionalFormatting>
  <pageMargins left="0.7" right="0.7" top="0.75" bottom="0.75" header="0.3" footer="0.3"/>
  <pageSetup orientation="portrait" horizont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34DFD-26CE-488F-9CD1-16EA731DC63B}">
  <dimension ref="A1:U131"/>
  <sheetViews>
    <sheetView topLeftCell="A39" zoomScale="40" zoomScaleNormal="40" workbookViewId="0">
      <selection activeCell="C6" sqref="C6:N9"/>
    </sheetView>
  </sheetViews>
  <sheetFormatPr defaultRowHeight="14.4" x14ac:dyDescent="0.3"/>
  <cols>
    <col min="2" max="2" width="53.5546875" customWidth="1"/>
    <col min="17" max="17" width="1.88671875" customWidth="1"/>
    <col min="18" max="19" width="8.88671875" hidden="1" customWidth="1"/>
    <col min="20" max="21" width="8.88671875" style="1"/>
  </cols>
  <sheetData>
    <row r="1" spans="1:19" x14ac:dyDescent="0.3">
      <c r="A1" s="33" t="s">
        <v>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19" ht="30.6" customHeight="1" x14ac:dyDescent="0.3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19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4"/>
    </row>
    <row r="4" spans="1:19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/>
      <c r="S4" s="4"/>
    </row>
    <row r="5" spans="1:19" ht="15.6" x14ac:dyDescent="0.3">
      <c r="A5" s="2"/>
      <c r="B5" s="2"/>
      <c r="C5" s="6" t="s">
        <v>19</v>
      </c>
      <c r="D5" s="6" t="s">
        <v>20</v>
      </c>
      <c r="E5" s="6" t="s">
        <v>21</v>
      </c>
      <c r="F5" s="6" t="s">
        <v>22</v>
      </c>
      <c r="G5" s="6" t="s">
        <v>23</v>
      </c>
      <c r="H5" s="6" t="s">
        <v>24</v>
      </c>
      <c r="I5" s="6" t="s">
        <v>25</v>
      </c>
      <c r="J5" s="6" t="s">
        <v>26</v>
      </c>
      <c r="K5" s="6" t="s">
        <v>27</v>
      </c>
      <c r="L5" s="6" t="s">
        <v>28</v>
      </c>
      <c r="M5" s="6" t="s">
        <v>29</v>
      </c>
      <c r="N5" s="6" t="s">
        <v>30</v>
      </c>
      <c r="O5" s="7"/>
      <c r="P5" s="7"/>
      <c r="Q5" s="2"/>
      <c r="R5" s="3"/>
      <c r="S5" s="4"/>
    </row>
    <row r="6" spans="1:19" s="1" customFormat="1" ht="15.6" x14ac:dyDescent="0.3">
      <c r="A6" s="34" t="s">
        <v>41</v>
      </c>
      <c r="B6" s="8"/>
      <c r="C6" s="9">
        <v>1</v>
      </c>
      <c r="D6" s="9">
        <v>0.14000000000000001</v>
      </c>
      <c r="E6" s="9">
        <v>0.14000000000000001</v>
      </c>
      <c r="F6" s="9">
        <v>0.14000000000000001</v>
      </c>
      <c r="G6" s="9">
        <v>0.14000000000000001</v>
      </c>
      <c r="H6" s="9">
        <v>0.14000000000000001</v>
      </c>
      <c r="I6" s="9">
        <v>0.14000000000000001</v>
      </c>
      <c r="J6" s="9">
        <v>0.14000000000000001</v>
      </c>
      <c r="K6" s="9">
        <v>0.14000000000000001</v>
      </c>
      <c r="L6" s="9">
        <v>0.14000000000000001</v>
      </c>
      <c r="M6" s="9">
        <v>0.14000000000000001</v>
      </c>
      <c r="N6" s="9">
        <v>0.14000000000000001</v>
      </c>
      <c r="O6" s="17" t="s">
        <v>31</v>
      </c>
      <c r="P6" s="10"/>
      <c r="Q6" s="2"/>
      <c r="R6" s="3"/>
      <c r="S6" s="4"/>
    </row>
    <row r="7" spans="1:19" s="1" customFormat="1" ht="15.6" x14ac:dyDescent="0.3">
      <c r="A7" s="34"/>
      <c r="B7" s="8"/>
      <c r="C7" s="9">
        <v>8</v>
      </c>
      <c r="D7" s="9">
        <v>8</v>
      </c>
      <c r="E7" s="9">
        <v>0.49</v>
      </c>
      <c r="F7" s="9">
        <v>0.49</v>
      </c>
      <c r="G7" s="9">
        <v>0.49</v>
      </c>
      <c r="H7" s="9">
        <v>0.49</v>
      </c>
      <c r="I7" s="9">
        <v>0.49</v>
      </c>
      <c r="J7" s="9">
        <v>0.49</v>
      </c>
      <c r="K7" s="9">
        <v>0.49</v>
      </c>
      <c r="L7" s="9">
        <v>0.49</v>
      </c>
      <c r="M7" s="9">
        <v>0.49</v>
      </c>
      <c r="N7" s="9">
        <v>0.49</v>
      </c>
      <c r="O7" s="17" t="s">
        <v>32</v>
      </c>
      <c r="P7" s="10"/>
      <c r="Q7" s="2"/>
      <c r="R7" s="3"/>
      <c r="S7" s="4"/>
    </row>
    <row r="8" spans="1:19" s="1" customFormat="1" ht="15.6" x14ac:dyDescent="0.3">
      <c r="A8" s="34"/>
      <c r="B8" s="8"/>
      <c r="C8" s="9">
        <v>7.0000000000000007E-2</v>
      </c>
      <c r="D8" s="9">
        <v>7.0000000000000007E-2</v>
      </c>
      <c r="E8" s="9">
        <v>7.0000000000000007E-2</v>
      </c>
      <c r="F8" s="9">
        <v>7.0000000000000007E-2</v>
      </c>
      <c r="G8" s="9">
        <v>7.0000000000000007E-2</v>
      </c>
      <c r="H8" s="9">
        <v>7.0000000000000007E-2</v>
      </c>
      <c r="I8" s="9">
        <v>7.0000000000000007E-2</v>
      </c>
      <c r="J8" s="9">
        <v>7.0000000000000007E-2</v>
      </c>
      <c r="K8" s="9">
        <v>7.0000000000000007E-2</v>
      </c>
      <c r="L8" s="9">
        <v>7.0000000000000007E-2</v>
      </c>
      <c r="M8" s="9">
        <v>7.0000000000000007E-2</v>
      </c>
      <c r="N8" s="9">
        <v>7.0000000000000007E-2</v>
      </c>
      <c r="O8" s="17" t="s">
        <v>3</v>
      </c>
      <c r="P8" s="10"/>
      <c r="Q8" s="2"/>
      <c r="R8" s="3"/>
      <c r="S8" s="4"/>
    </row>
    <row r="9" spans="1:19" s="1" customFormat="1" ht="15.6" x14ac:dyDescent="0.3">
      <c r="A9" s="34"/>
      <c r="B9" s="11"/>
      <c r="C9" s="9">
        <v>2</v>
      </c>
      <c r="D9" s="9">
        <v>0.15</v>
      </c>
      <c r="E9" s="9">
        <v>0.15</v>
      </c>
      <c r="F9" s="9">
        <v>0.15</v>
      </c>
      <c r="G9" s="9">
        <v>0.15</v>
      </c>
      <c r="H9" s="9">
        <v>0.15</v>
      </c>
      <c r="I9" s="9">
        <v>0.15</v>
      </c>
      <c r="J9" s="9">
        <v>0.15</v>
      </c>
      <c r="K9" s="9">
        <v>0.15</v>
      </c>
      <c r="L9" s="9">
        <v>0.15</v>
      </c>
      <c r="M9" s="9">
        <v>0.15</v>
      </c>
      <c r="N9" s="9">
        <v>0.15</v>
      </c>
      <c r="O9" s="17" t="s">
        <v>33</v>
      </c>
      <c r="P9" s="10"/>
      <c r="Q9" s="2"/>
      <c r="R9" s="3"/>
      <c r="S9" s="4"/>
    </row>
    <row r="10" spans="1:19" s="1" customFormat="1" ht="15.6" x14ac:dyDescent="0.3">
      <c r="A10" s="34" t="s">
        <v>42</v>
      </c>
      <c r="B10" s="8"/>
      <c r="C10" s="9">
        <v>1</v>
      </c>
      <c r="D10" s="9">
        <v>2</v>
      </c>
      <c r="E10" s="9">
        <v>2</v>
      </c>
      <c r="F10" s="9">
        <v>1</v>
      </c>
      <c r="G10" s="9">
        <v>2</v>
      </c>
      <c r="H10" s="9">
        <v>1</v>
      </c>
      <c r="I10" s="9">
        <v>0.09</v>
      </c>
      <c r="J10" s="9">
        <v>1</v>
      </c>
      <c r="K10" s="9">
        <v>1</v>
      </c>
      <c r="L10" s="9"/>
      <c r="M10" s="9"/>
      <c r="N10" s="9"/>
      <c r="O10" s="17" t="s">
        <v>31</v>
      </c>
      <c r="P10" s="10"/>
      <c r="Q10" s="2"/>
      <c r="R10" s="3"/>
      <c r="S10" s="4"/>
    </row>
    <row r="11" spans="1:19" s="1" customFormat="1" ht="15.6" x14ac:dyDescent="0.3">
      <c r="A11" s="34"/>
      <c r="B11" s="8"/>
      <c r="C11" s="9">
        <v>8</v>
      </c>
      <c r="D11" s="9">
        <v>8</v>
      </c>
      <c r="E11" s="9">
        <v>0.25</v>
      </c>
      <c r="F11" s="9">
        <v>0.25</v>
      </c>
      <c r="G11" s="9">
        <v>1</v>
      </c>
      <c r="H11" s="9">
        <v>1</v>
      </c>
      <c r="I11" s="9">
        <v>1</v>
      </c>
      <c r="J11" s="9">
        <v>1</v>
      </c>
      <c r="K11" s="9">
        <v>1</v>
      </c>
      <c r="L11" s="9"/>
      <c r="M11" s="9"/>
      <c r="N11" s="9"/>
      <c r="O11" s="17" t="s">
        <v>32</v>
      </c>
      <c r="P11" s="10"/>
      <c r="Q11" s="2"/>
      <c r="R11" s="3"/>
      <c r="S11" s="4"/>
    </row>
    <row r="12" spans="1:19" s="1" customFormat="1" ht="15.6" x14ac:dyDescent="0.3">
      <c r="A12" s="34"/>
      <c r="B12" s="8"/>
      <c r="C12" s="9">
        <v>0.04</v>
      </c>
      <c r="D12" s="9">
        <v>1</v>
      </c>
      <c r="E12" s="9">
        <v>1</v>
      </c>
      <c r="F12" s="9">
        <v>1</v>
      </c>
      <c r="G12" s="9">
        <v>1</v>
      </c>
      <c r="H12" s="9">
        <v>1</v>
      </c>
      <c r="I12" s="9">
        <v>0.04</v>
      </c>
      <c r="J12" s="9">
        <v>0.04</v>
      </c>
      <c r="K12" s="9">
        <v>0.04</v>
      </c>
      <c r="L12" s="9"/>
      <c r="M12" s="9"/>
      <c r="N12" s="9"/>
      <c r="O12" s="17" t="s">
        <v>3</v>
      </c>
      <c r="P12" s="10"/>
      <c r="Q12" s="2"/>
      <c r="R12" s="3"/>
      <c r="S12" s="4"/>
    </row>
    <row r="13" spans="1:19" s="1" customFormat="1" ht="15.6" x14ac:dyDescent="0.3">
      <c r="A13" s="34"/>
      <c r="B13" s="11"/>
      <c r="C13" s="9">
        <v>2</v>
      </c>
      <c r="D13" s="9">
        <v>1</v>
      </c>
      <c r="E13" s="9">
        <v>1</v>
      </c>
      <c r="F13" s="9">
        <v>1</v>
      </c>
      <c r="G13" s="9">
        <v>0.09</v>
      </c>
      <c r="H13" s="9">
        <v>0.09</v>
      </c>
      <c r="I13" s="9">
        <v>0.09</v>
      </c>
      <c r="J13" s="9">
        <v>0.09</v>
      </c>
      <c r="K13" s="9">
        <v>0.09</v>
      </c>
      <c r="L13" s="9"/>
      <c r="M13" s="9"/>
      <c r="N13" s="9"/>
      <c r="O13" s="17" t="s">
        <v>33</v>
      </c>
      <c r="P13" s="10"/>
      <c r="Q13" s="2"/>
      <c r="R13" s="3"/>
      <c r="S13" s="4"/>
    </row>
    <row r="14" spans="1:19" s="1" customForma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3"/>
      <c r="S14" s="4"/>
    </row>
    <row r="15" spans="1:19" s="1" customForma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3"/>
      <c r="S15" s="4"/>
    </row>
    <row r="16" spans="1:19" s="1" customForma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3"/>
      <c r="S16" s="4"/>
    </row>
    <row r="17" spans="1:19" s="1" customForma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3"/>
      <c r="S17" s="4"/>
    </row>
    <row r="18" spans="1:19" s="1" customForma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3"/>
      <c r="S18" s="4"/>
    </row>
    <row r="19" spans="1:19" s="1" customForma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3"/>
      <c r="S19" s="4"/>
    </row>
    <row r="20" spans="1:19" s="1" customForma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3"/>
      <c r="S20" s="4"/>
    </row>
    <row r="21" spans="1:19" s="1" customForma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3"/>
      <c r="S21" s="4"/>
    </row>
    <row r="22" spans="1:19" s="1" customForma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3"/>
      <c r="S22" s="4"/>
    </row>
    <row r="23" spans="1:19" s="1" customForma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3"/>
      <c r="S23" s="4"/>
    </row>
    <row r="24" spans="1:19" s="1" customForma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3"/>
      <c r="S24" s="4"/>
    </row>
    <row r="25" spans="1:19" s="1" customForma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3"/>
      <c r="S25" s="4"/>
    </row>
    <row r="26" spans="1:19" s="1" customForma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3"/>
      <c r="S26" s="4"/>
    </row>
    <row r="27" spans="1:19" s="1" customForma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3"/>
      <c r="S27" s="4"/>
    </row>
    <row r="28" spans="1:19" s="1" customForma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3"/>
      <c r="S28" s="4"/>
    </row>
    <row r="29" spans="1:19" s="1" customForma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3"/>
      <c r="S29" s="4"/>
    </row>
    <row r="30" spans="1:19" s="1" customForma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3"/>
      <c r="S30" s="4"/>
    </row>
    <row r="31" spans="1:19" s="1" customForma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3"/>
      <c r="S31" s="4"/>
    </row>
    <row r="32" spans="1:19" s="1" customForma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3"/>
      <c r="S32" s="4"/>
    </row>
    <row r="33" spans="1:19" s="1" customForma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3"/>
      <c r="S33" s="4"/>
    </row>
    <row r="34" spans="1:19" s="1" customForma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3"/>
      <c r="S34" s="4"/>
    </row>
    <row r="35" spans="1:19" s="1" customForma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3"/>
      <c r="S35" s="4"/>
    </row>
    <row r="36" spans="1:19" s="1" customForma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3"/>
      <c r="S36" s="4"/>
    </row>
    <row r="37" spans="1:19" s="1" customForma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3"/>
      <c r="S37" s="4"/>
    </row>
    <row r="38" spans="1:19" s="1" customForma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3"/>
      <c r="S38" s="4"/>
    </row>
    <row r="39" spans="1:19" s="1" customForma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3"/>
      <c r="S39" s="4"/>
    </row>
    <row r="40" spans="1:19" s="1" customForma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3"/>
      <c r="S40" s="4"/>
    </row>
    <row r="41" spans="1:19" s="1" customForma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3"/>
      <c r="S41" s="4"/>
    </row>
    <row r="42" spans="1:19" s="1" customForma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3"/>
      <c r="S42" s="4"/>
    </row>
    <row r="43" spans="1:19" s="1" customForma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3"/>
      <c r="S43" s="4"/>
    </row>
    <row r="44" spans="1:19" s="1" customForma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3"/>
      <c r="S44" s="4"/>
    </row>
    <row r="45" spans="1:19" s="1" customForma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3"/>
      <c r="S45" s="4"/>
    </row>
    <row r="46" spans="1:19" s="1" customForma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3"/>
      <c r="S46" s="4"/>
    </row>
    <row r="47" spans="1:19" s="1" customForma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3"/>
      <c r="S47" s="4"/>
    </row>
    <row r="48" spans="1:19" s="1" customForma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3"/>
      <c r="S48" s="4"/>
    </row>
    <row r="49" spans="1:19" s="1" customForma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3"/>
      <c r="S49" s="4"/>
    </row>
    <row r="50" spans="1:19" s="1" customForma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3"/>
      <c r="S50" s="4"/>
    </row>
    <row r="51" spans="1:19" s="1" customForma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3"/>
      <c r="S51" s="4"/>
    </row>
    <row r="52" spans="1:19" s="1" customForma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3"/>
      <c r="S52" s="4"/>
    </row>
    <row r="53" spans="1:19" s="1" customForma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3"/>
      <c r="S53" s="4"/>
    </row>
    <row r="54" spans="1:19" s="1" customForma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3"/>
      <c r="S54" s="4"/>
    </row>
    <row r="55" spans="1:19" s="1" customForma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3"/>
      <c r="S55" s="4"/>
    </row>
    <row r="56" spans="1:19" s="1" customForma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3"/>
      <c r="S56" s="4"/>
    </row>
    <row r="57" spans="1:19" s="1" customForma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3"/>
      <c r="S57" s="4"/>
    </row>
    <row r="58" spans="1:19" s="1" customForma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3"/>
      <c r="S58" s="4"/>
    </row>
    <row r="59" spans="1:19" s="1" customForma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3"/>
      <c r="S59" s="4"/>
    </row>
    <row r="60" spans="1:19" s="1" customForma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3"/>
      <c r="S60" s="4"/>
    </row>
    <row r="61" spans="1:19" s="1" customForma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3"/>
      <c r="S61" s="4"/>
    </row>
    <row r="62" spans="1:19" s="1" customForma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3"/>
      <c r="S62" s="4"/>
    </row>
    <row r="63" spans="1:19" s="1" customForma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3"/>
      <c r="S63" s="4"/>
    </row>
    <row r="64" spans="1:19" s="1" customForma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3"/>
      <c r="S64" s="4"/>
    </row>
    <row r="65" spans="1:19" s="1" customForma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3"/>
      <c r="S65" s="4"/>
    </row>
    <row r="66" spans="1:19" s="1" customForma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3"/>
      <c r="S66" s="4"/>
    </row>
    <row r="67" spans="1:19" s="1" customForma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3"/>
      <c r="S67" s="4"/>
    </row>
    <row r="68" spans="1:19" s="1" customForma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3"/>
      <c r="S68" s="4"/>
    </row>
    <row r="69" spans="1:19" s="1" customForma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3"/>
      <c r="S69" s="4"/>
    </row>
    <row r="70" spans="1:19" s="1" customForma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3"/>
      <c r="S70" s="4"/>
    </row>
    <row r="71" spans="1:19" s="1" customForma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3"/>
      <c r="S71" s="4"/>
    </row>
    <row r="72" spans="1:19" s="1" customForma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3"/>
      <c r="S72" s="4"/>
    </row>
    <row r="73" spans="1:19" s="1" customForma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3"/>
      <c r="S73" s="4"/>
    </row>
    <row r="74" spans="1:19" s="1" customForma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3"/>
      <c r="S74" s="4"/>
    </row>
    <row r="75" spans="1:19" s="1" customForma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3"/>
      <c r="S75" s="4"/>
    </row>
    <row r="76" spans="1:19" s="1" customForma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3"/>
      <c r="S76" s="4"/>
    </row>
    <row r="77" spans="1:19" s="1" customForma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3"/>
      <c r="S77" s="4"/>
    </row>
    <row r="78" spans="1:19" s="1" customForma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3"/>
      <c r="S78" s="4"/>
    </row>
    <row r="79" spans="1:19" s="1" customForma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3"/>
      <c r="S79" s="4"/>
    </row>
    <row r="80" spans="1:19" s="1" customForma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3"/>
      <c r="S80" s="4"/>
    </row>
    <row r="81" spans="1:19" s="1" customForma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3"/>
      <c r="S81" s="4"/>
    </row>
    <row r="82" spans="1:19" s="1" customForma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3"/>
      <c r="S82" s="4"/>
    </row>
    <row r="83" spans="1:19" s="1" customForma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3"/>
      <c r="S83" s="4"/>
    </row>
    <row r="84" spans="1:19" s="1" customForma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3"/>
      <c r="S84" s="4"/>
    </row>
    <row r="85" spans="1:19" s="1" customForma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3"/>
      <c r="S85" s="4"/>
    </row>
    <row r="86" spans="1:19" s="1" customForma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3"/>
      <c r="S86" s="4"/>
    </row>
    <row r="87" spans="1:19" s="1" customForma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3"/>
      <c r="S87" s="4"/>
    </row>
    <row r="88" spans="1:19" s="1" customForma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3"/>
      <c r="S88" s="4"/>
    </row>
    <row r="89" spans="1:19" s="1" customForma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3"/>
      <c r="S89" s="4"/>
    </row>
    <row r="90" spans="1:19" s="1" customForma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3"/>
      <c r="S90" s="4"/>
    </row>
    <row r="91" spans="1:19" s="1" customForma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3"/>
      <c r="S91" s="4"/>
    </row>
    <row r="92" spans="1:19" s="1" customForma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3"/>
      <c r="S92" s="4"/>
    </row>
    <row r="93" spans="1:19" s="1" customForma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3"/>
      <c r="S93" s="4"/>
    </row>
    <row r="94" spans="1:19" s="1" customForma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3"/>
      <c r="S94" s="4"/>
    </row>
    <row r="95" spans="1:19" s="1" customForma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3"/>
      <c r="S95" s="4"/>
    </row>
    <row r="96" spans="1:19" s="1" customForma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3"/>
      <c r="S96" s="4"/>
    </row>
    <row r="97" spans="1:19" s="1" customForma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3"/>
      <c r="S97" s="4"/>
    </row>
    <row r="98" spans="1:19" s="1" customForma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3"/>
      <c r="S98" s="4"/>
    </row>
    <row r="99" spans="1:19" s="1" customForma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3"/>
      <c r="S99" s="4"/>
    </row>
    <row r="100" spans="1:19" s="1" customForma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3"/>
      <c r="S100" s="4"/>
    </row>
    <row r="101" spans="1:19" s="1" customForma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3"/>
      <c r="S101" s="4"/>
    </row>
    <row r="102" spans="1:19" s="1" customForma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3"/>
      <c r="S102" s="4"/>
    </row>
    <row r="103" spans="1:19" s="1" customForma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3"/>
      <c r="S103" s="4"/>
    </row>
    <row r="104" spans="1:19" s="1" customForma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3"/>
      <c r="S104" s="4"/>
    </row>
    <row r="105" spans="1:19" s="1" customForma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3"/>
      <c r="S105" s="4"/>
    </row>
    <row r="106" spans="1:19" s="1" customForma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3"/>
      <c r="S106" s="4"/>
    </row>
    <row r="107" spans="1:19" s="1" customForma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3"/>
      <c r="S107" s="4"/>
    </row>
    <row r="108" spans="1:19" s="1" customForma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3"/>
      <c r="S108" s="4"/>
    </row>
    <row r="109" spans="1:19" s="1" customForma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3"/>
      <c r="S109" s="4"/>
    </row>
    <row r="110" spans="1:19" s="1" customForma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3"/>
      <c r="S110" s="4"/>
    </row>
    <row r="111" spans="1:19" s="1" customForma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3"/>
      <c r="S111" s="4"/>
    </row>
    <row r="112" spans="1:19" s="1" customForma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3"/>
      <c r="S112" s="4"/>
    </row>
    <row r="113" spans="1:19" s="1" customForma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3"/>
      <c r="S113" s="4"/>
    </row>
    <row r="114" spans="1:19" s="1" customForma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13"/>
      <c r="S114" s="14"/>
    </row>
    <row r="115" spans="1:19" s="1" customForma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/>
      <c r="S115"/>
    </row>
    <row r="116" spans="1:19" s="1" customForma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/>
      <c r="S116"/>
    </row>
    <row r="117" spans="1:19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9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9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9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1:19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1:19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9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1:19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9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9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9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9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</sheetData>
  <mergeCells count="3">
    <mergeCell ref="A1:S2"/>
    <mergeCell ref="A6:A9"/>
    <mergeCell ref="A10:A13"/>
  </mergeCells>
  <conditionalFormatting sqref="C6:P13">
    <cfRule type="cellIs" dxfId="21" priority="1" operator="greaterThan">
      <formula>0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A62D4-ED81-4CBB-9C2D-B9F36FC9F4C6}">
  <dimension ref="A1:AI146"/>
  <sheetViews>
    <sheetView tabSelected="1" topLeftCell="A62" zoomScale="53" zoomScaleNormal="70" workbookViewId="0">
      <selection activeCell="CB137" sqref="CB137"/>
    </sheetView>
  </sheetViews>
  <sheetFormatPr defaultRowHeight="14.4" x14ac:dyDescent="0.3"/>
  <cols>
    <col min="1" max="1" width="15.88671875" customWidth="1"/>
    <col min="2" max="2" width="9.88671875" bestFit="1" customWidth="1"/>
    <col min="3" max="3" width="8.88671875" customWidth="1"/>
    <col min="16" max="16" width="10.33203125" customWidth="1"/>
    <col min="18" max="18" width="11.33203125" customWidth="1"/>
    <col min="19" max="19" width="11.109375" customWidth="1"/>
    <col min="22" max="22" width="13.88671875" customWidth="1"/>
    <col min="26" max="26" width="11.5546875" customWidth="1"/>
    <col min="27" max="27" width="9.5546875" customWidth="1"/>
    <col min="28" max="28" width="15.44140625" customWidth="1"/>
    <col min="29" max="29" width="13.6640625" customWidth="1"/>
    <col min="31" max="31" width="11.6640625" customWidth="1"/>
  </cols>
  <sheetData>
    <row r="1" spans="1:23" x14ac:dyDescent="0.3">
      <c r="A1" s="22" t="s">
        <v>56</v>
      </c>
    </row>
    <row r="2" spans="1:23" ht="15.6" x14ac:dyDescent="0.3">
      <c r="A2" s="2"/>
      <c r="B2" s="29" t="s">
        <v>83</v>
      </c>
      <c r="C2" s="6" t="s">
        <v>84</v>
      </c>
      <c r="D2" s="6" t="s">
        <v>115</v>
      </c>
      <c r="E2" s="6" t="s">
        <v>116</v>
      </c>
      <c r="F2" s="6" t="s">
        <v>117</v>
      </c>
      <c r="G2" s="6" t="s">
        <v>52</v>
      </c>
      <c r="H2" s="6"/>
      <c r="I2" s="6"/>
      <c r="J2" s="6"/>
      <c r="K2" s="6"/>
      <c r="L2" s="6"/>
      <c r="M2" s="6"/>
      <c r="N2" s="6"/>
      <c r="O2" s="7"/>
      <c r="P2" s="7"/>
      <c r="Q2" s="2"/>
      <c r="R2" s="3"/>
      <c r="S2" s="4"/>
      <c r="T2" s="1"/>
      <c r="U2" s="1"/>
    </row>
    <row r="3" spans="1:23" s="1" customFormat="1" ht="15.6" x14ac:dyDescent="0.3">
      <c r="A3" s="25" t="s">
        <v>41</v>
      </c>
      <c r="B3" s="9">
        <v>496</v>
      </c>
      <c r="C3" s="9"/>
      <c r="D3" s="9"/>
      <c r="E3" s="9"/>
      <c r="F3" s="9"/>
      <c r="G3" s="9">
        <v>3</v>
      </c>
      <c r="H3" s="9"/>
      <c r="I3" s="9"/>
      <c r="J3" s="9"/>
      <c r="K3" s="9"/>
      <c r="L3" s="9"/>
      <c r="M3" s="9"/>
      <c r="N3" s="9"/>
      <c r="O3" s="17" t="s">
        <v>31</v>
      </c>
      <c r="P3" s="10"/>
      <c r="Q3" s="2"/>
      <c r="R3" s="3"/>
      <c r="S3" s="4"/>
    </row>
    <row r="4" spans="1:23" s="1" customFormat="1" ht="15.6" x14ac:dyDescent="0.3">
      <c r="A4" s="25" t="s">
        <v>41</v>
      </c>
      <c r="B4" s="9">
        <v>200</v>
      </c>
      <c r="C4" s="9"/>
      <c r="D4" s="9"/>
      <c r="E4" s="9"/>
      <c r="F4" s="9"/>
      <c r="G4" s="9">
        <v>0.15</v>
      </c>
      <c r="H4" s="9"/>
      <c r="I4" s="9"/>
      <c r="J4" s="9"/>
      <c r="K4" s="9"/>
      <c r="L4" s="9"/>
      <c r="M4" s="9"/>
      <c r="N4" s="9"/>
      <c r="O4" s="17" t="s">
        <v>32</v>
      </c>
      <c r="P4" s="10"/>
      <c r="Q4" s="2"/>
      <c r="R4" s="3"/>
      <c r="S4" s="4"/>
    </row>
    <row r="5" spans="1:23" s="1" customFormat="1" ht="15.6" x14ac:dyDescent="0.3">
      <c r="A5" s="25" t="s">
        <v>41</v>
      </c>
      <c r="B5" s="9"/>
      <c r="C5" s="9"/>
      <c r="D5" s="9"/>
      <c r="E5" s="9"/>
      <c r="F5" s="9"/>
      <c r="G5" s="9">
        <v>0.15</v>
      </c>
      <c r="H5" s="9"/>
      <c r="I5" s="9"/>
      <c r="J5" s="9"/>
      <c r="K5" s="9"/>
      <c r="L5" s="9"/>
      <c r="M5" s="9"/>
      <c r="N5" s="9"/>
      <c r="O5" s="17" t="s">
        <v>3</v>
      </c>
      <c r="P5" s="10"/>
      <c r="Q5" s="2"/>
      <c r="R5" s="3"/>
      <c r="S5" s="4"/>
    </row>
    <row r="6" spans="1:23" s="1" customFormat="1" ht="15.6" x14ac:dyDescent="0.3">
      <c r="A6" s="25" t="s">
        <v>41</v>
      </c>
      <c r="B6" s="9">
        <v>5</v>
      </c>
      <c r="C6" s="9">
        <v>2</v>
      </c>
      <c r="D6" s="9"/>
      <c r="E6" s="9"/>
      <c r="F6" s="9"/>
      <c r="G6" s="9">
        <v>0.15</v>
      </c>
      <c r="H6" s="9"/>
      <c r="I6" s="9"/>
      <c r="J6" s="9"/>
      <c r="K6" s="9"/>
      <c r="L6" s="9"/>
      <c r="M6" s="9"/>
      <c r="N6" s="9"/>
      <c r="O6" s="17" t="s">
        <v>33</v>
      </c>
      <c r="P6" s="10"/>
      <c r="Q6" s="2"/>
      <c r="R6" s="3"/>
      <c r="S6" s="4"/>
    </row>
    <row r="7" spans="1:23" s="1" customFormat="1" ht="15.6" x14ac:dyDescent="0.3">
      <c r="A7" s="25" t="s">
        <v>42</v>
      </c>
      <c r="B7" s="9">
        <v>496</v>
      </c>
      <c r="C7" s="9">
        <v>9</v>
      </c>
      <c r="D7" s="9">
        <v>3</v>
      </c>
      <c r="E7" s="9">
        <v>3</v>
      </c>
      <c r="F7" s="9">
        <v>3</v>
      </c>
      <c r="G7" s="9"/>
      <c r="H7" s="9"/>
      <c r="I7" s="9"/>
      <c r="J7" s="9"/>
      <c r="K7" s="9"/>
      <c r="L7" s="9"/>
      <c r="M7" s="9"/>
      <c r="N7" s="9"/>
      <c r="O7" s="17" t="s">
        <v>31</v>
      </c>
      <c r="P7" s="10"/>
      <c r="Q7" s="2"/>
      <c r="R7" s="3"/>
      <c r="S7" s="4"/>
    </row>
    <row r="8" spans="1:23" s="1" customFormat="1" ht="15.6" x14ac:dyDescent="0.3">
      <c r="A8" s="25" t="s">
        <v>42</v>
      </c>
      <c r="B8" s="9">
        <v>200</v>
      </c>
      <c r="C8" s="9">
        <v>0.01</v>
      </c>
      <c r="D8" s="9">
        <v>0.01</v>
      </c>
      <c r="E8" s="9">
        <v>0.01</v>
      </c>
      <c r="F8" s="9">
        <v>0.01</v>
      </c>
      <c r="G8" s="9"/>
      <c r="H8" s="9"/>
      <c r="I8" s="9"/>
      <c r="J8" s="9"/>
      <c r="K8" s="9"/>
      <c r="L8" s="9"/>
      <c r="M8" s="9"/>
      <c r="N8" s="9"/>
      <c r="O8" s="17" t="s">
        <v>32</v>
      </c>
      <c r="P8" s="10"/>
      <c r="Q8" s="2"/>
      <c r="R8" s="3"/>
      <c r="S8" s="4"/>
    </row>
    <row r="9" spans="1:23" s="1" customFormat="1" ht="15.6" x14ac:dyDescent="0.3">
      <c r="A9" s="25" t="s">
        <v>42</v>
      </c>
      <c r="B9" s="9">
        <v>0.01</v>
      </c>
      <c r="C9" s="9">
        <v>0.01</v>
      </c>
      <c r="D9" s="9">
        <v>0.01</v>
      </c>
      <c r="E9" s="9">
        <v>0.01</v>
      </c>
      <c r="F9" s="9">
        <v>0.01</v>
      </c>
      <c r="G9" s="9"/>
      <c r="H9" s="9"/>
      <c r="I9" s="9"/>
      <c r="J9" s="9"/>
      <c r="K9" s="9"/>
      <c r="L9" s="9"/>
      <c r="M9" s="9"/>
      <c r="N9" s="9"/>
      <c r="O9" s="17" t="s">
        <v>3</v>
      </c>
      <c r="P9" s="10"/>
      <c r="Q9" s="2"/>
      <c r="R9" s="3"/>
      <c r="S9" s="4"/>
    </row>
    <row r="10" spans="1:23" s="1" customFormat="1" ht="15.6" x14ac:dyDescent="0.3">
      <c r="A10" s="25" t="s">
        <v>42</v>
      </c>
      <c r="B10" s="9">
        <v>5</v>
      </c>
      <c r="C10" s="9">
        <v>2</v>
      </c>
      <c r="D10" s="9">
        <v>0.01</v>
      </c>
      <c r="E10" s="9">
        <v>0.01</v>
      </c>
      <c r="F10" s="9">
        <v>0.01</v>
      </c>
      <c r="G10" s="9"/>
      <c r="H10" s="9"/>
      <c r="I10" s="9"/>
      <c r="J10" s="9"/>
      <c r="K10" s="9"/>
      <c r="L10" s="9"/>
      <c r="M10" s="9"/>
      <c r="N10" s="9"/>
      <c r="O10" s="17" t="s">
        <v>33</v>
      </c>
      <c r="P10" s="10"/>
      <c r="Q10" s="2"/>
      <c r="R10" s="3"/>
      <c r="S10" s="4"/>
    </row>
    <row r="12" spans="1:23" x14ac:dyDescent="0.3">
      <c r="B12" t="s">
        <v>76</v>
      </c>
      <c r="I12" t="s">
        <v>77</v>
      </c>
    </row>
    <row r="16" spans="1:23" ht="15.6" x14ac:dyDescent="0.3">
      <c r="R16" s="26"/>
      <c r="S16" s="27"/>
      <c r="T16" s="27"/>
      <c r="U16" s="27"/>
      <c r="V16" s="27"/>
      <c r="W16" s="27"/>
    </row>
    <row r="17" spans="2:23" ht="15.6" x14ac:dyDescent="0.3">
      <c r="R17" s="26"/>
      <c r="S17" s="27"/>
      <c r="T17" s="27"/>
      <c r="U17" s="27"/>
      <c r="V17" s="27"/>
      <c r="W17" s="27"/>
    </row>
    <row r="18" spans="2:23" ht="15.6" x14ac:dyDescent="0.3">
      <c r="R18" s="26"/>
      <c r="S18" s="27"/>
      <c r="T18" s="27"/>
      <c r="U18" s="27"/>
      <c r="V18" s="27"/>
      <c r="W18" s="27"/>
    </row>
    <row r="19" spans="2:23" ht="15.6" x14ac:dyDescent="0.3">
      <c r="R19" s="26"/>
      <c r="S19" s="27"/>
      <c r="T19" s="27"/>
      <c r="U19" s="27"/>
      <c r="V19" s="27"/>
      <c r="W19" s="27"/>
    </row>
    <row r="27" spans="2:23" x14ac:dyDescent="0.3">
      <c r="B27" t="s">
        <v>78</v>
      </c>
      <c r="I27" t="s">
        <v>79</v>
      </c>
    </row>
    <row r="40" spans="1:21" hidden="1" x14ac:dyDescent="0.3">
      <c r="A40" s="22" t="s">
        <v>17</v>
      </c>
    </row>
    <row r="41" spans="1:21" ht="15.6" hidden="1" x14ac:dyDescent="0.3">
      <c r="A41" s="2"/>
      <c r="B41" s="24">
        <v>2024</v>
      </c>
      <c r="C41" s="6" t="s">
        <v>19</v>
      </c>
      <c r="D41" s="6" t="s">
        <v>20</v>
      </c>
      <c r="E41" s="6" t="s">
        <v>21</v>
      </c>
      <c r="F41" s="6" t="s">
        <v>22</v>
      </c>
      <c r="G41" s="6" t="s">
        <v>23</v>
      </c>
      <c r="H41" s="6" t="s">
        <v>24</v>
      </c>
      <c r="I41" s="6" t="s">
        <v>25</v>
      </c>
      <c r="J41" s="6" t="s">
        <v>26</v>
      </c>
      <c r="K41" s="6" t="s">
        <v>27</v>
      </c>
      <c r="L41" s="6" t="s">
        <v>28</v>
      </c>
      <c r="M41" s="6" t="s">
        <v>29</v>
      </c>
      <c r="N41" s="6" t="s">
        <v>30</v>
      </c>
      <c r="O41" s="7"/>
      <c r="P41" s="7"/>
      <c r="Q41" s="2"/>
      <c r="R41" s="3"/>
      <c r="S41" s="4"/>
      <c r="T41" s="1"/>
      <c r="U41" s="1"/>
    </row>
    <row r="42" spans="1:21" s="1" customFormat="1" ht="15.6" hidden="1" x14ac:dyDescent="0.3">
      <c r="A42" s="23" t="s">
        <v>31</v>
      </c>
      <c r="B42" s="9">
        <v>7.0000000000000007E-2</v>
      </c>
      <c r="C42" s="9">
        <v>7.0000000000000007E-2</v>
      </c>
      <c r="D42" s="9">
        <v>1</v>
      </c>
      <c r="E42" s="9">
        <v>1</v>
      </c>
      <c r="F42" s="9">
        <v>7.0000000000000007E-2</v>
      </c>
      <c r="G42" s="9">
        <v>7.0000000000000007E-2</v>
      </c>
      <c r="H42" s="9">
        <v>7.0000000000000007E-2</v>
      </c>
      <c r="I42" s="9">
        <v>7.0000000000000007E-2</v>
      </c>
      <c r="J42" s="9">
        <v>7.0000000000000007E-2</v>
      </c>
      <c r="K42" s="9">
        <v>7.0000000000000007E-2</v>
      </c>
      <c r="L42" s="9">
        <v>7.0000000000000007E-2</v>
      </c>
      <c r="M42" s="9"/>
      <c r="N42" s="9"/>
      <c r="O42" s="17" t="s">
        <v>31</v>
      </c>
      <c r="P42" s="10"/>
      <c r="Q42" s="2"/>
      <c r="R42" s="3"/>
      <c r="S42" s="4"/>
    </row>
    <row r="43" spans="1:21" s="1" customFormat="1" ht="15.6" hidden="1" x14ac:dyDescent="0.3">
      <c r="A43" s="23" t="s">
        <v>32</v>
      </c>
      <c r="B43" s="9">
        <v>14</v>
      </c>
      <c r="C43" s="9">
        <v>14</v>
      </c>
      <c r="D43" s="9">
        <v>5</v>
      </c>
      <c r="E43" s="9">
        <v>5</v>
      </c>
      <c r="F43" s="9">
        <v>5</v>
      </c>
      <c r="G43" s="9">
        <v>4</v>
      </c>
      <c r="H43" s="9">
        <v>3</v>
      </c>
      <c r="I43" s="9">
        <v>3</v>
      </c>
      <c r="J43" s="9">
        <v>3</v>
      </c>
      <c r="K43" s="9">
        <v>3</v>
      </c>
      <c r="L43" s="9">
        <v>4</v>
      </c>
      <c r="M43" s="9"/>
      <c r="N43" s="9"/>
      <c r="O43" s="17" t="s">
        <v>32</v>
      </c>
      <c r="P43" s="10"/>
      <c r="Q43" s="2"/>
      <c r="R43" s="3"/>
      <c r="S43" s="4"/>
    </row>
    <row r="44" spans="1:21" s="1" customFormat="1" ht="15.6" hidden="1" x14ac:dyDescent="0.3">
      <c r="A44" s="23" t="s">
        <v>3</v>
      </c>
      <c r="B44" s="9">
        <v>1</v>
      </c>
      <c r="C44" s="9">
        <v>5</v>
      </c>
      <c r="D44" s="9">
        <v>5</v>
      </c>
      <c r="E44" s="9">
        <v>5</v>
      </c>
      <c r="F44" s="9">
        <v>5</v>
      </c>
      <c r="G44" s="9">
        <v>5</v>
      </c>
      <c r="H44" s="9">
        <v>5</v>
      </c>
      <c r="I44" s="9">
        <v>2</v>
      </c>
      <c r="J44" s="9">
        <v>3</v>
      </c>
      <c r="K44" s="9">
        <v>3</v>
      </c>
      <c r="L44" s="9">
        <v>3</v>
      </c>
      <c r="M44" s="9"/>
      <c r="N44" s="9"/>
      <c r="O44" s="17" t="s">
        <v>3</v>
      </c>
      <c r="P44" s="10"/>
      <c r="Q44" s="2"/>
      <c r="R44" s="3"/>
      <c r="S44" s="4"/>
    </row>
    <row r="45" spans="1:21" s="1" customFormat="1" ht="15.6" hidden="1" x14ac:dyDescent="0.3">
      <c r="A45" s="23" t="s">
        <v>33</v>
      </c>
      <c r="B45" s="9">
        <v>7.0000000000000007E-2</v>
      </c>
      <c r="C45" s="9">
        <v>7.0000000000000007E-2</v>
      </c>
      <c r="D45" s="9">
        <v>7.0000000000000007E-2</v>
      </c>
      <c r="E45" s="9">
        <v>7.0000000000000007E-2</v>
      </c>
      <c r="F45" s="9">
        <v>7.0000000000000007E-2</v>
      </c>
      <c r="G45" s="9">
        <v>7.0000000000000007E-2</v>
      </c>
      <c r="H45" s="9">
        <v>7.0000000000000007E-2</v>
      </c>
      <c r="I45" s="9">
        <v>7.0000000000000007E-2</v>
      </c>
      <c r="J45" s="9">
        <v>7.0000000000000007E-2</v>
      </c>
      <c r="K45" s="9">
        <v>7.0000000000000007E-2</v>
      </c>
      <c r="L45" s="9">
        <v>7.0000000000000007E-2</v>
      </c>
      <c r="M45" s="9"/>
      <c r="N45" s="9"/>
      <c r="O45" s="17" t="s">
        <v>33</v>
      </c>
      <c r="P45" s="10"/>
      <c r="Q45" s="2"/>
      <c r="R45" s="3"/>
      <c r="S45" s="4"/>
    </row>
    <row r="47" spans="1:21" x14ac:dyDescent="0.3">
      <c r="A47" s="22" t="s">
        <v>17</v>
      </c>
    </row>
    <row r="48" spans="1:21" ht="15.6" x14ac:dyDescent="0.3">
      <c r="A48" s="2"/>
      <c r="B48" s="6" t="s">
        <v>85</v>
      </c>
      <c r="C48" s="6" t="s">
        <v>84</v>
      </c>
      <c r="D48" s="6" t="s">
        <v>115</v>
      </c>
      <c r="E48" s="6" t="s">
        <v>116</v>
      </c>
      <c r="F48" s="6" t="s">
        <v>117</v>
      </c>
      <c r="G48" s="6" t="s">
        <v>52</v>
      </c>
      <c r="H48" s="6"/>
      <c r="I48" s="6"/>
      <c r="J48" s="6"/>
      <c r="K48" s="6"/>
      <c r="L48" s="6"/>
      <c r="M48" s="6"/>
      <c r="N48" s="6"/>
      <c r="O48" s="7"/>
      <c r="P48" s="7"/>
      <c r="Q48" s="2"/>
      <c r="R48" s="3"/>
      <c r="S48" s="4"/>
      <c r="T48" s="1"/>
      <c r="U48" s="1"/>
    </row>
    <row r="49" spans="1:22" s="1" customFormat="1" ht="15.6" x14ac:dyDescent="0.3">
      <c r="A49" s="25" t="s">
        <v>41</v>
      </c>
      <c r="B49" s="9"/>
      <c r="C49" s="9">
        <v>0.1</v>
      </c>
      <c r="D49" s="9">
        <v>0.3</v>
      </c>
      <c r="E49" s="9">
        <v>0.3</v>
      </c>
      <c r="F49" s="9">
        <v>0.3</v>
      </c>
      <c r="G49" s="9">
        <v>0.3</v>
      </c>
      <c r="H49" s="9"/>
      <c r="I49" s="9"/>
      <c r="J49" s="9"/>
      <c r="K49" s="9"/>
      <c r="L49" s="9"/>
      <c r="M49" s="9"/>
      <c r="N49" s="9"/>
      <c r="O49" s="17" t="s">
        <v>31</v>
      </c>
      <c r="P49" s="10"/>
      <c r="Q49" s="2"/>
      <c r="R49" s="3"/>
      <c r="S49" s="4"/>
    </row>
    <row r="50" spans="1:22" s="1" customFormat="1" ht="15.6" x14ac:dyDescent="0.3">
      <c r="A50" s="25" t="s">
        <v>41</v>
      </c>
      <c r="B50" s="9">
        <v>14</v>
      </c>
      <c r="C50" s="9">
        <v>0.3</v>
      </c>
      <c r="D50" s="9">
        <v>2</v>
      </c>
      <c r="E50" s="9">
        <v>2</v>
      </c>
      <c r="F50" s="9">
        <v>2</v>
      </c>
      <c r="G50" s="9">
        <v>2</v>
      </c>
      <c r="H50" s="9"/>
      <c r="I50" s="9"/>
      <c r="J50" s="9"/>
      <c r="K50" s="9"/>
      <c r="L50" s="9"/>
      <c r="M50" s="9"/>
      <c r="N50" s="9"/>
      <c r="O50" s="17" t="s">
        <v>32</v>
      </c>
      <c r="P50" s="10"/>
      <c r="Q50" s="2"/>
      <c r="R50" s="3"/>
      <c r="S50" s="4"/>
    </row>
    <row r="51" spans="1:22" s="1" customFormat="1" ht="15.6" x14ac:dyDescent="0.3">
      <c r="A51" s="25" t="s">
        <v>41</v>
      </c>
      <c r="B51" s="9">
        <v>4</v>
      </c>
      <c r="C51" s="9">
        <v>4</v>
      </c>
      <c r="D51" s="9">
        <v>0.3</v>
      </c>
      <c r="E51" s="9">
        <v>0.3</v>
      </c>
      <c r="F51" s="9">
        <v>0.3</v>
      </c>
      <c r="G51" s="9">
        <v>0.3</v>
      </c>
      <c r="H51" s="9"/>
      <c r="I51" s="9"/>
      <c r="J51" s="9"/>
      <c r="K51" s="9"/>
      <c r="L51" s="9"/>
      <c r="M51" s="9"/>
      <c r="N51" s="9"/>
      <c r="O51" s="17" t="s">
        <v>3</v>
      </c>
      <c r="P51" s="10"/>
      <c r="Q51" s="2"/>
      <c r="R51" s="3"/>
      <c r="S51" s="4"/>
    </row>
    <row r="52" spans="1:22" s="1" customFormat="1" ht="15.6" x14ac:dyDescent="0.3">
      <c r="A52" s="25" t="s">
        <v>41</v>
      </c>
      <c r="B52" s="9"/>
      <c r="C52" s="9">
        <v>0.3</v>
      </c>
      <c r="D52" s="9">
        <v>0.3</v>
      </c>
      <c r="E52" s="9">
        <v>0.3</v>
      </c>
      <c r="F52" s="9">
        <v>0.3</v>
      </c>
      <c r="G52" s="9">
        <v>0.3</v>
      </c>
      <c r="H52" s="9"/>
      <c r="I52" s="9"/>
      <c r="J52" s="9"/>
      <c r="K52" s="9"/>
      <c r="L52" s="9"/>
      <c r="M52" s="9"/>
      <c r="N52" s="9"/>
      <c r="O52" s="17" t="s">
        <v>33</v>
      </c>
      <c r="P52" s="10"/>
      <c r="Q52" s="2"/>
      <c r="R52" s="3"/>
      <c r="S52" s="4"/>
    </row>
    <row r="53" spans="1:22" s="1" customFormat="1" ht="15.6" x14ac:dyDescent="0.3">
      <c r="A53" s="25" t="s">
        <v>42</v>
      </c>
      <c r="B53" s="9">
        <v>0.01</v>
      </c>
      <c r="C53" s="9">
        <v>0.01</v>
      </c>
      <c r="D53" s="9">
        <v>0.3</v>
      </c>
      <c r="E53" s="9">
        <v>0.3</v>
      </c>
      <c r="F53" s="9">
        <v>0.3</v>
      </c>
      <c r="G53" s="9"/>
      <c r="H53" s="9"/>
      <c r="I53" s="9"/>
      <c r="J53" s="9"/>
      <c r="K53" s="9"/>
      <c r="L53" s="9"/>
      <c r="M53" s="9"/>
      <c r="N53" s="9"/>
      <c r="O53" s="17" t="s">
        <v>31</v>
      </c>
      <c r="P53" s="10"/>
      <c r="Q53" s="2"/>
      <c r="R53" s="3"/>
      <c r="S53" s="4"/>
    </row>
    <row r="54" spans="1:22" s="1" customFormat="1" ht="15.6" x14ac:dyDescent="0.3">
      <c r="A54" s="25" t="s">
        <v>42</v>
      </c>
      <c r="B54" s="9">
        <v>14</v>
      </c>
      <c r="C54" s="9">
        <v>0.01</v>
      </c>
      <c r="D54" s="9">
        <v>2</v>
      </c>
      <c r="E54" s="9">
        <v>5</v>
      </c>
      <c r="F54" s="9">
        <v>5</v>
      </c>
      <c r="G54" s="9"/>
      <c r="H54" s="9"/>
      <c r="I54" s="9"/>
      <c r="J54" s="9"/>
      <c r="K54" s="9"/>
      <c r="L54" s="9"/>
      <c r="M54" s="9"/>
      <c r="N54" s="9"/>
      <c r="O54" s="17" t="s">
        <v>32</v>
      </c>
      <c r="P54" s="10"/>
      <c r="Q54" s="2"/>
      <c r="R54" s="3"/>
      <c r="S54" s="4"/>
    </row>
    <row r="55" spans="1:22" s="1" customFormat="1" ht="15.6" x14ac:dyDescent="0.3">
      <c r="A55" s="25" t="s">
        <v>42</v>
      </c>
      <c r="B55" s="9">
        <v>5</v>
      </c>
      <c r="C55" s="9">
        <v>6</v>
      </c>
      <c r="D55" s="9">
        <v>0.3</v>
      </c>
      <c r="E55" s="9">
        <v>0.3</v>
      </c>
      <c r="F55" s="9">
        <v>0.3</v>
      </c>
      <c r="G55" s="9"/>
      <c r="H55" s="9"/>
      <c r="I55" s="9"/>
      <c r="J55" s="9"/>
      <c r="K55" s="9"/>
      <c r="L55" s="9"/>
      <c r="M55" s="9"/>
      <c r="N55" s="9"/>
      <c r="O55" s="17" t="s">
        <v>3</v>
      </c>
      <c r="P55" s="10"/>
      <c r="Q55" s="2"/>
      <c r="R55" s="3"/>
      <c r="S55" s="4"/>
    </row>
    <row r="56" spans="1:22" s="1" customFormat="1" ht="15.6" x14ac:dyDescent="0.3">
      <c r="A56" s="25" t="s">
        <v>42</v>
      </c>
      <c r="B56" s="9">
        <v>0.01</v>
      </c>
      <c r="C56" s="9">
        <v>1</v>
      </c>
      <c r="D56" s="9">
        <v>0.3</v>
      </c>
      <c r="E56" s="9">
        <v>0.3</v>
      </c>
      <c r="F56" s="9">
        <v>0.3</v>
      </c>
      <c r="G56" s="9"/>
      <c r="H56" s="9"/>
      <c r="I56" s="9"/>
      <c r="J56" s="9"/>
      <c r="K56" s="9"/>
      <c r="L56" s="9"/>
      <c r="M56" s="9"/>
      <c r="N56" s="9"/>
      <c r="O56" s="17" t="s">
        <v>33</v>
      </c>
      <c r="P56" s="10"/>
      <c r="Q56" s="2"/>
      <c r="R56" s="3"/>
      <c r="S56" s="4"/>
    </row>
    <row r="59" spans="1:22" x14ac:dyDescent="0.3">
      <c r="B59" t="s">
        <v>76</v>
      </c>
      <c r="I59" t="s">
        <v>77</v>
      </c>
    </row>
    <row r="60" spans="1:22" ht="15.6" x14ac:dyDescent="0.3">
      <c r="Q60" s="26"/>
      <c r="R60" s="27"/>
      <c r="S60" s="27"/>
      <c r="T60" s="27"/>
      <c r="U60" s="27"/>
      <c r="V60" s="27"/>
    </row>
    <row r="61" spans="1:22" ht="15.6" x14ac:dyDescent="0.3">
      <c r="Q61" s="26" t="s">
        <v>92</v>
      </c>
      <c r="R61" s="31" t="s">
        <v>93</v>
      </c>
      <c r="S61" s="27"/>
      <c r="T61" s="27"/>
      <c r="U61" s="27"/>
      <c r="V61" s="27"/>
    </row>
    <row r="62" spans="1:22" ht="15.6" x14ac:dyDescent="0.3">
      <c r="Q62" s="26" t="s">
        <v>90</v>
      </c>
      <c r="R62" s="31" t="s">
        <v>91</v>
      </c>
      <c r="S62" s="27"/>
      <c r="T62" s="27"/>
      <c r="U62" s="27"/>
      <c r="V62" s="27"/>
    </row>
    <row r="63" spans="1:22" ht="15.6" x14ac:dyDescent="0.3">
      <c r="Q63" s="26"/>
      <c r="R63" s="27"/>
      <c r="S63" s="27"/>
      <c r="T63" s="27"/>
      <c r="U63" s="27"/>
      <c r="V63" s="27"/>
    </row>
    <row r="73" spans="2:9" x14ac:dyDescent="0.3">
      <c r="B73" t="s">
        <v>78</v>
      </c>
      <c r="I73" t="s">
        <v>79</v>
      </c>
    </row>
    <row r="88" spans="1:21" x14ac:dyDescent="0.3">
      <c r="G88">
        <v>2</v>
      </c>
    </row>
    <row r="89" spans="1:21" hidden="1" x14ac:dyDescent="0.3"/>
    <row r="90" spans="1:21" hidden="1" x14ac:dyDescent="0.3">
      <c r="A90" s="22" t="s">
        <v>18</v>
      </c>
    </row>
    <row r="91" spans="1:21" ht="15.6" hidden="1" x14ac:dyDescent="0.3">
      <c r="A91" s="2"/>
      <c r="B91" s="24">
        <v>2024</v>
      </c>
      <c r="C91" s="6" t="s">
        <v>19</v>
      </c>
      <c r="D91" s="6" t="s">
        <v>20</v>
      </c>
      <c r="E91" s="6" t="s">
        <v>21</v>
      </c>
      <c r="F91" s="6" t="s">
        <v>22</v>
      </c>
      <c r="G91" s="6" t="s">
        <v>23</v>
      </c>
      <c r="H91" s="6" t="s">
        <v>24</v>
      </c>
      <c r="I91" s="6" t="s">
        <v>25</v>
      </c>
      <c r="J91" s="6" t="s">
        <v>26</v>
      </c>
      <c r="K91" s="6" t="s">
        <v>27</v>
      </c>
      <c r="L91" s="6" t="s">
        <v>28</v>
      </c>
      <c r="M91" s="6" t="s">
        <v>29</v>
      </c>
      <c r="N91" s="6" t="s">
        <v>30</v>
      </c>
      <c r="O91" s="7"/>
      <c r="P91" s="7"/>
      <c r="Q91" s="2"/>
      <c r="R91" s="3"/>
      <c r="S91" s="4"/>
      <c r="T91" s="1"/>
      <c r="U91" s="1"/>
    </row>
    <row r="92" spans="1:21" s="1" customFormat="1" ht="15.6" hidden="1" x14ac:dyDescent="0.3">
      <c r="A92" s="23" t="s">
        <v>31</v>
      </c>
      <c r="B92" s="9">
        <v>1</v>
      </c>
      <c r="C92" s="9">
        <v>1</v>
      </c>
      <c r="D92" s="9">
        <v>2</v>
      </c>
      <c r="E92" s="9">
        <v>2</v>
      </c>
      <c r="F92" s="9">
        <v>1</v>
      </c>
      <c r="G92" s="9">
        <v>2</v>
      </c>
      <c r="H92" s="9">
        <v>1</v>
      </c>
      <c r="I92" s="9">
        <v>7.0000000000000007E-2</v>
      </c>
      <c r="J92" s="9">
        <v>1</v>
      </c>
      <c r="K92" s="9">
        <v>7.0000000000000007E-2</v>
      </c>
      <c r="L92" s="9">
        <v>1</v>
      </c>
      <c r="M92" s="9"/>
      <c r="N92" s="9"/>
      <c r="O92" s="17" t="s">
        <v>31</v>
      </c>
      <c r="P92" s="10"/>
      <c r="Q92" s="2"/>
      <c r="R92" s="3"/>
      <c r="S92" s="4"/>
    </row>
    <row r="93" spans="1:21" s="1" customFormat="1" ht="15.6" hidden="1" x14ac:dyDescent="0.3">
      <c r="A93" s="23" t="s">
        <v>32</v>
      </c>
      <c r="B93" s="9">
        <v>8</v>
      </c>
      <c r="C93" s="9">
        <v>8</v>
      </c>
      <c r="D93" s="9">
        <v>8</v>
      </c>
      <c r="E93" s="9">
        <v>7.0000000000000007E-2</v>
      </c>
      <c r="F93" s="9">
        <v>7.0000000000000007E-2</v>
      </c>
      <c r="G93" s="9">
        <v>1</v>
      </c>
      <c r="H93" s="9">
        <v>1</v>
      </c>
      <c r="I93" s="9">
        <v>1</v>
      </c>
      <c r="J93" s="9">
        <v>1</v>
      </c>
      <c r="K93" s="9">
        <v>1</v>
      </c>
      <c r="L93" s="9">
        <v>1</v>
      </c>
      <c r="M93" s="9"/>
      <c r="N93" s="9"/>
      <c r="O93" s="17" t="s">
        <v>32</v>
      </c>
      <c r="P93" s="10"/>
      <c r="Q93" s="2"/>
      <c r="R93" s="3"/>
      <c r="S93" s="4"/>
    </row>
    <row r="94" spans="1:21" s="1" customFormat="1" ht="15.6" hidden="1" x14ac:dyDescent="0.3">
      <c r="A94" s="23" t="s">
        <v>3</v>
      </c>
      <c r="B94" s="9">
        <v>7.0000000000000007E-2</v>
      </c>
      <c r="C94" s="9">
        <v>1</v>
      </c>
      <c r="D94" s="9">
        <v>1</v>
      </c>
      <c r="E94" s="9">
        <v>1</v>
      </c>
      <c r="F94" s="9">
        <v>1</v>
      </c>
      <c r="G94" s="9">
        <v>1</v>
      </c>
      <c r="H94" s="9">
        <v>1</v>
      </c>
      <c r="I94" s="9">
        <v>7.0000000000000007E-2</v>
      </c>
      <c r="J94" s="9">
        <v>7.0000000000000007E-2</v>
      </c>
      <c r="K94" s="9">
        <v>7.0000000000000007E-2</v>
      </c>
      <c r="L94" s="9">
        <v>7.0000000000000007E-2</v>
      </c>
      <c r="M94" s="9"/>
      <c r="N94" s="9"/>
      <c r="O94" s="17" t="s">
        <v>3</v>
      </c>
      <c r="P94" s="10"/>
      <c r="Q94" s="2"/>
      <c r="R94" s="3"/>
      <c r="S94" s="4"/>
    </row>
    <row r="95" spans="1:21" s="1" customFormat="1" ht="15.6" hidden="1" x14ac:dyDescent="0.3">
      <c r="A95" s="23" t="s">
        <v>33</v>
      </c>
      <c r="B95" s="9">
        <v>1</v>
      </c>
      <c r="C95" s="9">
        <v>2</v>
      </c>
      <c r="D95" s="9">
        <v>1</v>
      </c>
      <c r="E95" s="9">
        <v>1</v>
      </c>
      <c r="F95" s="9">
        <v>1</v>
      </c>
      <c r="G95" s="9">
        <v>7.0000000000000007E-2</v>
      </c>
      <c r="H95" s="9">
        <v>7.0000000000000007E-2</v>
      </c>
      <c r="I95" s="9">
        <v>7.0000000000000007E-2</v>
      </c>
      <c r="J95" s="9">
        <v>7.0000000000000007E-2</v>
      </c>
      <c r="K95" s="9">
        <v>7.0000000000000007E-2</v>
      </c>
      <c r="L95" s="9">
        <v>7.0000000000000007E-2</v>
      </c>
      <c r="M95" s="9"/>
      <c r="N95" s="9"/>
      <c r="O95" s="17" t="s">
        <v>33</v>
      </c>
      <c r="P95" s="10"/>
      <c r="Q95" s="2"/>
      <c r="R95" s="3"/>
      <c r="S95" s="4"/>
    </row>
    <row r="97" spans="1:21" x14ac:dyDescent="0.3">
      <c r="A97" s="22" t="s">
        <v>18</v>
      </c>
    </row>
    <row r="98" spans="1:21" ht="15.6" x14ac:dyDescent="0.3">
      <c r="A98" s="2"/>
      <c r="B98" s="6" t="s">
        <v>83</v>
      </c>
      <c r="C98" s="6" t="s">
        <v>84</v>
      </c>
      <c r="D98" s="6" t="s">
        <v>115</v>
      </c>
      <c r="E98" s="6" t="s">
        <v>116</v>
      </c>
      <c r="F98" s="6" t="s">
        <v>117</v>
      </c>
      <c r="G98" s="6" t="s">
        <v>52</v>
      </c>
      <c r="H98" s="6"/>
      <c r="I98" s="6"/>
      <c r="J98" s="6"/>
      <c r="K98" s="6"/>
      <c r="L98" s="6"/>
      <c r="M98" s="6"/>
      <c r="N98" s="6"/>
      <c r="O98" s="7"/>
      <c r="P98" s="7"/>
      <c r="Q98" s="2"/>
      <c r="R98" s="3"/>
      <c r="S98" s="4"/>
      <c r="T98" s="1"/>
      <c r="U98" s="1"/>
    </row>
    <row r="99" spans="1:21" s="1" customFormat="1" ht="15.6" x14ac:dyDescent="0.3">
      <c r="A99" s="25" t="s">
        <v>41</v>
      </c>
      <c r="B99" s="9">
        <v>1</v>
      </c>
      <c r="C99" s="9">
        <v>1</v>
      </c>
      <c r="D99" s="9">
        <v>0.1</v>
      </c>
      <c r="E99" s="9">
        <v>0.1</v>
      </c>
      <c r="F99" s="9">
        <v>0.1</v>
      </c>
      <c r="G99" s="9">
        <v>0.1</v>
      </c>
      <c r="H99" s="9"/>
      <c r="I99" s="9"/>
      <c r="J99" s="9"/>
      <c r="K99" s="9"/>
      <c r="L99" s="9"/>
      <c r="M99" s="9"/>
      <c r="N99" s="9"/>
      <c r="O99" s="17" t="s">
        <v>31</v>
      </c>
      <c r="P99" s="10"/>
      <c r="Q99" s="2"/>
      <c r="R99" s="3"/>
      <c r="S99" s="4"/>
    </row>
    <row r="100" spans="1:21" s="1" customFormat="1" ht="15.6" x14ac:dyDescent="0.3">
      <c r="A100" s="25" t="s">
        <v>41</v>
      </c>
      <c r="B100" s="9">
        <v>8</v>
      </c>
      <c r="C100" s="9">
        <v>0.2</v>
      </c>
      <c r="D100" s="9">
        <v>1</v>
      </c>
      <c r="E100" s="9">
        <v>1</v>
      </c>
      <c r="F100" s="9">
        <v>1</v>
      </c>
      <c r="G100" s="9">
        <v>1</v>
      </c>
      <c r="H100" s="9"/>
      <c r="I100" s="9"/>
      <c r="J100" s="9"/>
      <c r="K100" s="9"/>
      <c r="L100" s="9"/>
      <c r="M100" s="9"/>
      <c r="N100" s="9"/>
      <c r="O100" s="17" t="s">
        <v>32</v>
      </c>
      <c r="P100" s="10"/>
      <c r="Q100" s="2"/>
      <c r="R100" s="3"/>
      <c r="S100" s="4"/>
    </row>
    <row r="101" spans="1:21" s="1" customFormat="1" ht="15.6" x14ac:dyDescent="0.3">
      <c r="A101" s="25" t="s">
        <v>41</v>
      </c>
      <c r="B101" s="9">
        <v>0.05</v>
      </c>
      <c r="C101" s="9">
        <v>0.1</v>
      </c>
      <c r="D101" s="9">
        <v>0.05</v>
      </c>
      <c r="E101" s="9">
        <v>0.05</v>
      </c>
      <c r="F101" s="9">
        <v>0.05</v>
      </c>
      <c r="G101" s="9">
        <v>0.05</v>
      </c>
      <c r="H101" s="9"/>
      <c r="I101" s="9"/>
      <c r="J101" s="9"/>
      <c r="K101" s="9"/>
      <c r="L101" s="9"/>
      <c r="M101" s="9"/>
      <c r="N101" s="9"/>
      <c r="O101" s="17" t="s">
        <v>3</v>
      </c>
      <c r="P101" s="10"/>
      <c r="Q101" s="2"/>
      <c r="R101" s="3"/>
      <c r="S101" s="4"/>
    </row>
    <row r="102" spans="1:21" s="1" customFormat="1" ht="15.6" x14ac:dyDescent="0.3">
      <c r="A102" s="25" t="s">
        <v>41</v>
      </c>
      <c r="B102" s="9">
        <v>2</v>
      </c>
      <c r="C102" s="9">
        <v>0.12</v>
      </c>
      <c r="D102" s="9">
        <v>0.12</v>
      </c>
      <c r="E102" s="9">
        <v>0.12</v>
      </c>
      <c r="F102" s="9">
        <v>0.12</v>
      </c>
      <c r="G102" s="9">
        <v>0.12</v>
      </c>
      <c r="H102" s="9"/>
      <c r="I102" s="9"/>
      <c r="J102" s="9"/>
      <c r="K102" s="9"/>
      <c r="L102" s="9"/>
      <c r="M102" s="9"/>
      <c r="N102" s="9"/>
      <c r="O102" s="17" t="s">
        <v>33</v>
      </c>
      <c r="P102" s="10"/>
      <c r="Q102" s="2"/>
      <c r="R102" s="3"/>
      <c r="S102" s="4"/>
    </row>
    <row r="103" spans="1:21" s="1" customFormat="1" ht="15.6" x14ac:dyDescent="0.3">
      <c r="A103" s="25" t="s">
        <v>42</v>
      </c>
      <c r="B103" s="9">
        <v>1</v>
      </c>
      <c r="C103" s="9">
        <v>1</v>
      </c>
      <c r="D103" s="9">
        <v>0.1</v>
      </c>
      <c r="E103" s="9">
        <v>0.1</v>
      </c>
      <c r="F103" s="9">
        <v>0.1</v>
      </c>
      <c r="G103" s="9"/>
      <c r="H103" s="9"/>
      <c r="I103" s="9"/>
      <c r="J103" s="9"/>
      <c r="K103" s="9"/>
      <c r="L103" s="9"/>
      <c r="M103" s="9"/>
      <c r="N103" s="9"/>
      <c r="O103" s="17" t="s">
        <v>31</v>
      </c>
      <c r="P103" s="10"/>
      <c r="Q103" s="2"/>
      <c r="R103" s="3"/>
      <c r="S103" s="4"/>
    </row>
    <row r="104" spans="1:21" s="1" customFormat="1" ht="15.6" x14ac:dyDescent="0.3">
      <c r="A104" s="25" t="s">
        <v>42</v>
      </c>
      <c r="B104" s="9">
        <v>8</v>
      </c>
      <c r="C104" s="9">
        <v>1</v>
      </c>
      <c r="D104" s="9">
        <v>1</v>
      </c>
      <c r="E104" s="9">
        <v>1</v>
      </c>
      <c r="F104" s="9">
        <v>1</v>
      </c>
      <c r="G104" s="9"/>
      <c r="H104" s="9"/>
      <c r="I104" s="9"/>
      <c r="J104" s="9"/>
      <c r="K104" s="9"/>
      <c r="L104" s="9"/>
      <c r="M104" s="9"/>
      <c r="N104" s="9"/>
      <c r="O104" s="17" t="s">
        <v>32</v>
      </c>
      <c r="P104" s="10"/>
      <c r="Q104" s="2"/>
      <c r="R104" s="3"/>
      <c r="S104" s="4"/>
    </row>
    <row r="105" spans="1:21" s="1" customFormat="1" ht="15.6" x14ac:dyDescent="0.3">
      <c r="A105" s="25" t="s">
        <v>42</v>
      </c>
      <c r="B105" s="9">
        <v>0.05</v>
      </c>
      <c r="C105" s="9">
        <v>7</v>
      </c>
      <c r="D105" s="9">
        <v>0.01</v>
      </c>
      <c r="E105" s="9">
        <v>0.01</v>
      </c>
      <c r="F105" s="9">
        <v>0.01</v>
      </c>
      <c r="G105" s="9"/>
      <c r="H105" s="9"/>
      <c r="I105" s="9"/>
      <c r="J105" s="9"/>
      <c r="K105" s="9"/>
      <c r="L105" s="9"/>
      <c r="M105" s="9"/>
      <c r="N105" s="9"/>
      <c r="O105" s="17" t="s">
        <v>3</v>
      </c>
      <c r="P105" s="10"/>
      <c r="Q105" s="2"/>
      <c r="R105" s="3"/>
      <c r="S105" s="4"/>
    </row>
    <row r="106" spans="1:21" s="1" customFormat="1" ht="15.6" x14ac:dyDescent="0.3">
      <c r="A106" s="25" t="s">
        <v>42</v>
      </c>
      <c r="B106" s="9">
        <v>2</v>
      </c>
      <c r="C106" s="9">
        <v>0.01</v>
      </c>
      <c r="D106" s="9">
        <v>0.01</v>
      </c>
      <c r="E106" s="9">
        <v>0.01</v>
      </c>
      <c r="F106" s="9">
        <v>0.01</v>
      </c>
      <c r="G106" s="9"/>
      <c r="H106" s="9"/>
      <c r="I106" s="9"/>
      <c r="J106" s="9"/>
      <c r="K106" s="9"/>
      <c r="L106" s="9"/>
      <c r="M106" s="9"/>
      <c r="N106" s="9"/>
      <c r="O106" s="17" t="s">
        <v>33</v>
      </c>
      <c r="P106" s="10"/>
      <c r="Q106" s="2"/>
      <c r="R106" s="3"/>
      <c r="S106" s="4"/>
    </row>
    <row r="108" spans="1:21" x14ac:dyDescent="0.3">
      <c r="B108" t="s">
        <v>76</v>
      </c>
      <c r="I108" t="s">
        <v>77</v>
      </c>
    </row>
    <row r="122" spans="2:9" x14ac:dyDescent="0.3">
      <c r="B122" t="s">
        <v>78</v>
      </c>
      <c r="I122" t="s">
        <v>79</v>
      </c>
    </row>
    <row r="137" spans="1:35" ht="15.6" x14ac:dyDescent="0.3">
      <c r="A137" s="2"/>
      <c r="B137" s="5" t="s">
        <v>58</v>
      </c>
      <c r="C137" s="5" t="s">
        <v>60</v>
      </c>
      <c r="D137" s="6" t="s">
        <v>68</v>
      </c>
      <c r="E137" s="6" t="s">
        <v>69</v>
      </c>
      <c r="F137" s="6" t="s">
        <v>70</v>
      </c>
      <c r="G137" s="5" t="s">
        <v>61</v>
      </c>
      <c r="H137" s="6" t="s">
        <v>82</v>
      </c>
      <c r="I137" s="6" t="s">
        <v>74</v>
      </c>
      <c r="J137" s="6" t="s">
        <v>81</v>
      </c>
      <c r="K137" s="6" t="s">
        <v>67</v>
      </c>
      <c r="L137" s="6" t="s">
        <v>72</v>
      </c>
      <c r="M137" s="6" t="s">
        <v>38</v>
      </c>
      <c r="N137" s="6" t="s">
        <v>63</v>
      </c>
      <c r="O137" s="6" t="s">
        <v>87</v>
      </c>
      <c r="P137" s="6" t="s">
        <v>73</v>
      </c>
      <c r="Q137" s="6" t="s">
        <v>88</v>
      </c>
      <c r="R137" s="6" t="s">
        <v>96</v>
      </c>
      <c r="S137" s="6" t="s">
        <v>107</v>
      </c>
      <c r="T137" s="6" t="s">
        <v>69</v>
      </c>
      <c r="U137" s="6" t="s">
        <v>103</v>
      </c>
      <c r="V137" s="6" t="s">
        <v>36</v>
      </c>
      <c r="W137" s="6" t="s">
        <v>70</v>
      </c>
      <c r="X137" s="6" t="s">
        <v>112</v>
      </c>
      <c r="Y137" s="6" t="s">
        <v>113</v>
      </c>
      <c r="Z137" s="6" t="s">
        <v>97</v>
      </c>
      <c r="AA137" s="6" t="s">
        <v>86</v>
      </c>
      <c r="AB137" s="6" t="s">
        <v>94</v>
      </c>
      <c r="AC137" s="6" t="s">
        <v>114</v>
      </c>
      <c r="AD137" s="6" t="s">
        <v>112</v>
      </c>
      <c r="AE137" s="6" t="s">
        <v>70</v>
      </c>
      <c r="AF137" s="6" t="s">
        <v>110</v>
      </c>
      <c r="AG137" s="6" t="s">
        <v>89</v>
      </c>
      <c r="AH137" s="5" t="s">
        <v>80</v>
      </c>
      <c r="AI137" s="6" t="s">
        <v>118</v>
      </c>
    </row>
    <row r="138" spans="1:35" s="1" customFormat="1" ht="15.6" x14ac:dyDescent="0.3">
      <c r="A138" s="23" t="s">
        <v>56</v>
      </c>
      <c r="B138" s="28">
        <v>1</v>
      </c>
      <c r="C138" s="28">
        <v>1</v>
      </c>
      <c r="E138" s="9"/>
      <c r="F138" s="9"/>
      <c r="G138" s="28">
        <v>1</v>
      </c>
      <c r="H138" s="9"/>
      <c r="I138" s="9"/>
      <c r="J138" s="9"/>
      <c r="K138" s="9"/>
      <c r="L138" s="28">
        <v>2</v>
      </c>
      <c r="M138" s="30"/>
      <c r="N138" s="28">
        <v>1</v>
      </c>
      <c r="O138" s="28"/>
      <c r="P138" s="28"/>
      <c r="Q138" s="30"/>
      <c r="R138" s="9">
        <v>3</v>
      </c>
      <c r="S138" s="9">
        <v>13</v>
      </c>
      <c r="T138" s="9"/>
      <c r="U138" s="9">
        <v>1</v>
      </c>
      <c r="V138" s="30"/>
      <c r="W138" s="9"/>
      <c r="X138" s="30"/>
      <c r="Y138" s="30">
        <v>2</v>
      </c>
      <c r="Z138" s="9"/>
      <c r="AA138" s="9"/>
      <c r="AB138" s="30"/>
      <c r="AC138" s="9"/>
      <c r="AD138" s="9"/>
      <c r="AE138" s="10"/>
      <c r="AF138" s="30"/>
      <c r="AG138" s="30"/>
      <c r="AH138" s="9">
        <v>3</v>
      </c>
      <c r="AI138" s="9"/>
    </row>
    <row r="139" spans="1:35" s="1" customFormat="1" ht="15.6" x14ac:dyDescent="0.3">
      <c r="A139" s="23" t="s">
        <v>17</v>
      </c>
      <c r="B139" s="9"/>
      <c r="C139" s="9"/>
      <c r="D139" s="28">
        <v>1</v>
      </c>
      <c r="E139" s="28">
        <v>1</v>
      </c>
      <c r="F139" s="28">
        <v>1</v>
      </c>
      <c r="G139" s="9"/>
      <c r="H139" s="28">
        <v>3</v>
      </c>
      <c r="I139" s="28">
        <v>1</v>
      </c>
      <c r="J139" s="28">
        <v>1</v>
      </c>
      <c r="K139" s="9"/>
      <c r="L139" s="9"/>
      <c r="M139" s="28">
        <v>1</v>
      </c>
      <c r="N139" s="28"/>
      <c r="O139" s="28">
        <v>1</v>
      </c>
      <c r="P139" s="28">
        <v>1</v>
      </c>
      <c r="Q139" s="9"/>
      <c r="R139" s="9"/>
      <c r="S139" s="9"/>
      <c r="T139" s="30">
        <v>1</v>
      </c>
      <c r="U139" s="9"/>
      <c r="V139" s="9"/>
      <c r="W139" s="30">
        <v>1</v>
      </c>
      <c r="X139" s="9">
        <v>3</v>
      </c>
      <c r="Y139" s="9"/>
      <c r="Z139" s="9">
        <v>4</v>
      </c>
      <c r="AA139" s="9"/>
      <c r="AB139" s="9"/>
      <c r="AC139" s="9">
        <v>6</v>
      </c>
      <c r="AD139" s="9">
        <v>2</v>
      </c>
      <c r="AE139" s="9">
        <v>1</v>
      </c>
      <c r="AF139" s="9"/>
      <c r="AG139" s="9">
        <v>2</v>
      </c>
      <c r="AH139" s="9"/>
      <c r="AI139" s="9">
        <v>3</v>
      </c>
    </row>
    <row r="140" spans="1:35" s="1" customFormat="1" ht="15.6" x14ac:dyDescent="0.3">
      <c r="A140" s="23" t="s">
        <v>18</v>
      </c>
      <c r="B140" s="9"/>
      <c r="C140" s="9"/>
      <c r="D140" s="9"/>
      <c r="E140" s="9"/>
      <c r="F140" s="9"/>
      <c r="G140" s="9"/>
      <c r="H140" s="28">
        <v>7</v>
      </c>
      <c r="I140" s="9"/>
      <c r="J140" s="9"/>
      <c r="K140" s="28">
        <v>1</v>
      </c>
      <c r="L140" s="9"/>
      <c r="M140" s="28">
        <v>1</v>
      </c>
      <c r="N140" s="28"/>
      <c r="O140" s="28"/>
      <c r="P140" s="28"/>
      <c r="Q140" s="9"/>
      <c r="R140" s="9"/>
      <c r="S140" s="9"/>
      <c r="T140" s="9"/>
      <c r="U140" s="9"/>
      <c r="V140" s="9">
        <v>1</v>
      </c>
      <c r="W140" s="9"/>
      <c r="X140" s="9"/>
      <c r="Y140" s="9"/>
      <c r="Z140" s="9"/>
      <c r="AA140" s="9"/>
      <c r="AB140" s="9"/>
      <c r="AC140" s="9"/>
      <c r="AD140" s="9"/>
      <c r="AE140" s="9"/>
      <c r="AF140" s="9">
        <v>1</v>
      </c>
      <c r="AG140" s="9"/>
      <c r="AH140" s="9"/>
      <c r="AI140" s="9"/>
    </row>
    <row r="143" spans="1:35" x14ac:dyDescent="0.3">
      <c r="Y143" s="32" t="s">
        <v>106</v>
      </c>
      <c r="Z143" s="32" t="s">
        <v>102</v>
      </c>
      <c r="AA143" s="32" t="s">
        <v>104</v>
      </c>
      <c r="AB143" s="32" t="s">
        <v>105</v>
      </c>
      <c r="AC143" s="32" t="s">
        <v>108</v>
      </c>
    </row>
    <row r="144" spans="1:35" x14ac:dyDescent="0.3">
      <c r="P144" s="32" t="s">
        <v>95</v>
      </c>
      <c r="R144" s="32" t="s">
        <v>111</v>
      </c>
      <c r="S144" s="32" t="s">
        <v>109</v>
      </c>
      <c r="T144" s="32" t="s">
        <v>99</v>
      </c>
      <c r="Y144" t="s">
        <v>100</v>
      </c>
      <c r="Z144" t="s">
        <v>101</v>
      </c>
    </row>
    <row r="145" spans="19:20" x14ac:dyDescent="0.3">
      <c r="S145" s="32"/>
      <c r="T145" s="32" t="s">
        <v>98</v>
      </c>
    </row>
    <row r="146" spans="19:20" x14ac:dyDescent="0.3">
      <c r="T146" s="32" t="s">
        <v>109</v>
      </c>
    </row>
  </sheetData>
  <phoneticPr fontId="6" type="noConversion"/>
  <conditionalFormatting sqref="B3:P10 B138:AI140">
    <cfRule type="cellIs" dxfId="20" priority="16" operator="greaterThan">
      <formula>0</formula>
    </cfRule>
  </conditionalFormatting>
  <conditionalFormatting sqref="B42:P45">
    <cfRule type="cellIs" dxfId="19" priority="33" operator="greaterThan">
      <formula>0</formula>
    </cfRule>
  </conditionalFormatting>
  <conditionalFormatting sqref="B49:P56">
    <cfRule type="cellIs" dxfId="18" priority="13" operator="greaterThan">
      <formula>0</formula>
    </cfRule>
  </conditionalFormatting>
  <conditionalFormatting sqref="B92:P95">
    <cfRule type="cellIs" dxfId="17" priority="32" operator="greaterThan">
      <formula>0</formula>
    </cfRule>
  </conditionalFormatting>
  <conditionalFormatting sqref="B99:P106">
    <cfRule type="cellIs" dxfId="16" priority="11" operator="greaterThan">
      <formula>0</formula>
    </cfRule>
  </conditionalFormatting>
  <conditionalFormatting sqref="D139">
    <cfRule type="cellIs" dxfId="15" priority="34" operator="greaterThan">
      <formula>0</formula>
    </cfRule>
  </conditionalFormatting>
  <conditionalFormatting sqref="R60:V63">
    <cfRule type="cellIs" dxfId="14" priority="15" operator="greaterThan">
      <formula>0</formula>
    </cfRule>
  </conditionalFormatting>
  <conditionalFormatting sqref="S16:W19">
    <cfRule type="cellIs" dxfId="13" priority="10" operator="greaterThan">
      <formula>0</formula>
    </cfRule>
  </conditionalFormatting>
  <pageMargins left="0.7" right="0.7" top="0.75" bottom="0.75" header="0.3" footer="0.3"/>
  <pageSetup orientation="portrait" horizontalDpi="300" r:id="rId1"/>
  <customProperties>
    <customPr name="EpmWorksheetKeyString_GUID" r:id="rId2"/>
  </customPropertie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3F0E2-DA60-41D0-91F0-7E6E50CC6989}">
  <dimension ref="A1:U140"/>
  <sheetViews>
    <sheetView zoomScale="70" zoomScaleNormal="70" workbookViewId="0">
      <selection activeCell="V32" sqref="V32"/>
    </sheetView>
  </sheetViews>
  <sheetFormatPr defaultRowHeight="14.4" x14ac:dyDescent="0.3"/>
  <cols>
    <col min="1" max="1" width="15.88671875" customWidth="1"/>
    <col min="19" max="19" width="11.109375" customWidth="1"/>
  </cols>
  <sheetData>
    <row r="1" spans="1:21" x14ac:dyDescent="0.3">
      <c r="A1" s="22" t="s">
        <v>56</v>
      </c>
    </row>
    <row r="2" spans="1:21" ht="15.6" x14ac:dyDescent="0.3">
      <c r="A2" s="2"/>
      <c r="B2" s="24">
        <v>2024</v>
      </c>
      <c r="C2" s="6" t="s">
        <v>19</v>
      </c>
      <c r="D2" s="6" t="s">
        <v>20</v>
      </c>
      <c r="E2" s="6" t="s">
        <v>21</v>
      </c>
      <c r="F2" s="6" t="s">
        <v>22</v>
      </c>
      <c r="G2" s="6" t="s">
        <v>23</v>
      </c>
      <c r="H2" s="6" t="s">
        <v>24</v>
      </c>
      <c r="I2" s="6" t="s">
        <v>25</v>
      </c>
      <c r="J2" s="6" t="s">
        <v>26</v>
      </c>
      <c r="K2" s="6" t="s">
        <v>27</v>
      </c>
      <c r="L2" s="6" t="s">
        <v>28</v>
      </c>
      <c r="M2" s="6" t="s">
        <v>29</v>
      </c>
      <c r="N2" s="6" t="s">
        <v>30</v>
      </c>
      <c r="O2" s="7"/>
      <c r="P2" s="7"/>
      <c r="Q2" s="2"/>
      <c r="R2" s="3"/>
      <c r="S2" s="4"/>
      <c r="T2" s="1"/>
      <c r="U2" s="1"/>
    </row>
    <row r="3" spans="1:21" s="1" customFormat="1" ht="15.6" x14ac:dyDescent="0.3">
      <c r="A3" s="25" t="s">
        <v>42</v>
      </c>
      <c r="B3" s="9">
        <v>503</v>
      </c>
      <c r="C3" s="9">
        <v>496</v>
      </c>
      <c r="D3" s="9">
        <v>432</v>
      </c>
      <c r="E3" s="9">
        <v>355</v>
      </c>
      <c r="F3" s="9">
        <v>325</v>
      </c>
      <c r="G3" s="9">
        <v>149</v>
      </c>
      <c r="H3" s="9">
        <v>143</v>
      </c>
      <c r="I3" s="9">
        <v>113</v>
      </c>
      <c r="J3" s="9">
        <v>97</v>
      </c>
      <c r="K3" s="9">
        <v>79</v>
      </c>
      <c r="L3" s="9">
        <v>39</v>
      </c>
      <c r="M3" s="9"/>
      <c r="N3" s="9"/>
      <c r="O3" s="17" t="s">
        <v>31</v>
      </c>
      <c r="P3" s="10"/>
      <c r="Q3" s="2"/>
      <c r="R3" s="3"/>
      <c r="S3" s="4"/>
    </row>
    <row r="4" spans="1:21" s="1" customFormat="1" ht="15.6" x14ac:dyDescent="0.3">
      <c r="A4" s="25" t="s">
        <v>42</v>
      </c>
      <c r="B4" s="9">
        <v>306</v>
      </c>
      <c r="C4" s="9">
        <v>200</v>
      </c>
      <c r="D4" s="9">
        <v>149</v>
      </c>
      <c r="E4" s="9">
        <v>149</v>
      </c>
      <c r="F4" s="9">
        <v>149</v>
      </c>
      <c r="G4" s="9">
        <v>112</v>
      </c>
      <c r="H4" s="9">
        <v>80</v>
      </c>
      <c r="I4" s="9">
        <v>57</v>
      </c>
      <c r="J4" s="9">
        <v>19</v>
      </c>
      <c r="K4" s="9">
        <v>12</v>
      </c>
      <c r="L4" s="9">
        <v>3</v>
      </c>
      <c r="M4" s="9"/>
      <c r="N4" s="9"/>
      <c r="O4" s="17" t="s">
        <v>32</v>
      </c>
      <c r="P4" s="10"/>
      <c r="Q4" s="2"/>
      <c r="R4" s="3"/>
      <c r="S4" s="4"/>
    </row>
    <row r="5" spans="1:21" s="1" customFormat="1" ht="15.6" x14ac:dyDescent="0.3">
      <c r="A5" s="25" t="s">
        <v>42</v>
      </c>
      <c r="B5" s="9">
        <v>7.0000000000000007E-2</v>
      </c>
      <c r="C5" s="9">
        <v>7.0000000000000007E-2</v>
      </c>
      <c r="D5" s="9">
        <v>7.0000000000000007E-2</v>
      </c>
      <c r="E5" s="9">
        <v>7.0000000000000007E-2</v>
      </c>
      <c r="F5" s="9">
        <v>7.0000000000000007E-2</v>
      </c>
      <c r="G5" s="9">
        <v>7.0000000000000007E-2</v>
      </c>
      <c r="H5" s="9">
        <v>7.0000000000000007E-2</v>
      </c>
      <c r="I5" s="9">
        <v>7.0000000000000007E-2</v>
      </c>
      <c r="J5" s="9">
        <v>7.0000000000000007E-2</v>
      </c>
      <c r="K5" s="9">
        <v>7.0000000000000007E-2</v>
      </c>
      <c r="L5" s="9">
        <v>7.0000000000000007E-2</v>
      </c>
      <c r="M5" s="9"/>
      <c r="N5" s="9"/>
      <c r="O5" s="17" t="s">
        <v>3</v>
      </c>
      <c r="P5" s="10"/>
      <c r="Q5" s="2"/>
      <c r="R5" s="3"/>
      <c r="S5" s="4"/>
    </row>
    <row r="6" spans="1:21" s="1" customFormat="1" ht="15.6" x14ac:dyDescent="0.3">
      <c r="A6" s="25" t="s">
        <v>42</v>
      </c>
      <c r="B6" s="9">
        <v>3</v>
      </c>
      <c r="C6" s="9">
        <v>5</v>
      </c>
      <c r="D6" s="9">
        <v>3</v>
      </c>
      <c r="E6" s="9">
        <v>3</v>
      </c>
      <c r="F6" s="9">
        <v>3</v>
      </c>
      <c r="G6" s="9">
        <v>3</v>
      </c>
      <c r="H6" s="9">
        <v>2</v>
      </c>
      <c r="I6" s="9">
        <v>2</v>
      </c>
      <c r="J6" s="9">
        <v>2</v>
      </c>
      <c r="K6" s="9">
        <v>2</v>
      </c>
      <c r="L6" s="9">
        <v>2</v>
      </c>
      <c r="M6" s="9"/>
      <c r="N6" s="9"/>
      <c r="O6" s="17" t="s">
        <v>33</v>
      </c>
      <c r="P6" s="10"/>
      <c r="Q6" s="2"/>
      <c r="R6" s="3"/>
      <c r="S6" s="4"/>
    </row>
    <row r="7" spans="1:21" s="1" customFormat="1" ht="15.6" x14ac:dyDescent="0.3">
      <c r="A7" s="25" t="s">
        <v>41</v>
      </c>
      <c r="B7" s="9">
        <v>503</v>
      </c>
      <c r="C7" s="9">
        <v>496</v>
      </c>
      <c r="D7" s="9">
        <v>446</v>
      </c>
      <c r="E7" s="9">
        <v>396</v>
      </c>
      <c r="F7" s="9">
        <v>346</v>
      </c>
      <c r="G7" s="9">
        <v>296</v>
      </c>
      <c r="H7" s="9">
        <v>246</v>
      </c>
      <c r="I7" s="9">
        <v>196</v>
      </c>
      <c r="J7" s="9">
        <v>146</v>
      </c>
      <c r="K7" s="9">
        <v>96</v>
      </c>
      <c r="L7" s="9">
        <v>46</v>
      </c>
      <c r="M7" s="9">
        <v>7.0000000000000007E-2</v>
      </c>
      <c r="N7" s="9">
        <v>7.0000000000000007E-2</v>
      </c>
      <c r="O7" s="17" t="s">
        <v>31</v>
      </c>
      <c r="P7" s="10"/>
      <c r="Q7" s="2"/>
      <c r="R7" s="3"/>
      <c r="S7" s="4"/>
    </row>
    <row r="8" spans="1:21" s="1" customFormat="1" ht="15.6" x14ac:dyDescent="0.3">
      <c r="A8" s="25" t="s">
        <v>41</v>
      </c>
      <c r="B8" s="9">
        <v>306</v>
      </c>
      <c r="C8" s="9">
        <v>200</v>
      </c>
      <c r="D8" s="9">
        <v>170</v>
      </c>
      <c r="E8" s="9">
        <v>140</v>
      </c>
      <c r="F8" s="9">
        <v>110</v>
      </c>
      <c r="G8" s="9">
        <v>80</v>
      </c>
      <c r="H8" s="9">
        <v>70</v>
      </c>
      <c r="I8" s="9">
        <v>50</v>
      </c>
      <c r="J8" s="9">
        <v>30</v>
      </c>
      <c r="K8" s="9">
        <v>10</v>
      </c>
      <c r="L8" s="9">
        <v>7.0000000000000007E-2</v>
      </c>
      <c r="M8" s="9">
        <v>7.0000000000000007E-2</v>
      </c>
      <c r="N8" s="9">
        <v>7.0000000000000007E-2</v>
      </c>
      <c r="O8" s="17" t="s">
        <v>32</v>
      </c>
      <c r="P8" s="10"/>
      <c r="Q8" s="2"/>
      <c r="R8" s="3"/>
      <c r="S8" s="4"/>
    </row>
    <row r="9" spans="1:21" s="1" customFormat="1" ht="15.6" x14ac:dyDescent="0.3">
      <c r="A9" s="25" t="s">
        <v>41</v>
      </c>
      <c r="B9" s="9">
        <v>7.0000000000000007E-2</v>
      </c>
      <c r="C9" s="9">
        <v>7.0000000000000007E-2</v>
      </c>
      <c r="D9" s="9">
        <v>7.0000000000000007E-2</v>
      </c>
      <c r="E9" s="9">
        <v>7.0000000000000007E-2</v>
      </c>
      <c r="F9" s="9">
        <v>7.0000000000000007E-2</v>
      </c>
      <c r="G9" s="9">
        <v>7.0000000000000007E-2</v>
      </c>
      <c r="H9" s="9">
        <v>7.0000000000000007E-2</v>
      </c>
      <c r="I9" s="9">
        <v>7.0000000000000007E-2</v>
      </c>
      <c r="J9" s="9">
        <v>7.0000000000000007E-2</v>
      </c>
      <c r="K9" s="9">
        <v>7.0000000000000007E-2</v>
      </c>
      <c r="L9" s="9">
        <v>7.0000000000000007E-2</v>
      </c>
      <c r="M9" s="9">
        <v>7.0000000000000007E-2</v>
      </c>
      <c r="N9" s="9">
        <v>7.0000000000000007E-2</v>
      </c>
      <c r="O9" s="17" t="s">
        <v>3</v>
      </c>
      <c r="P9" s="10"/>
      <c r="Q9" s="2"/>
      <c r="R9" s="3"/>
      <c r="S9" s="4"/>
    </row>
    <row r="10" spans="1:21" s="1" customFormat="1" ht="15.6" x14ac:dyDescent="0.3">
      <c r="A10" s="25" t="s">
        <v>41</v>
      </c>
      <c r="B10" s="9">
        <v>5</v>
      </c>
      <c r="C10" s="9">
        <v>5</v>
      </c>
      <c r="D10" s="9">
        <v>3</v>
      </c>
      <c r="E10" s="9">
        <v>7.0000000000000007E-2</v>
      </c>
      <c r="F10" s="9">
        <v>7.0000000000000007E-2</v>
      </c>
      <c r="G10" s="9">
        <v>7.0000000000000007E-2</v>
      </c>
      <c r="H10" s="9">
        <v>7.0000000000000007E-2</v>
      </c>
      <c r="I10" s="9">
        <v>7.0000000000000007E-2</v>
      </c>
      <c r="J10" s="9">
        <v>7.0000000000000007E-2</v>
      </c>
      <c r="K10" s="9">
        <v>7.0000000000000007E-2</v>
      </c>
      <c r="L10" s="9">
        <v>7.0000000000000007E-2</v>
      </c>
      <c r="M10" s="9">
        <v>7.0000000000000007E-2</v>
      </c>
      <c r="N10" s="9">
        <v>7.0000000000000007E-2</v>
      </c>
      <c r="O10" s="17" t="s">
        <v>33</v>
      </c>
      <c r="P10" s="10"/>
      <c r="Q10" s="2"/>
      <c r="R10" s="3"/>
      <c r="S10" s="4"/>
    </row>
    <row r="12" spans="1:21" x14ac:dyDescent="0.3">
      <c r="B12" t="s">
        <v>76</v>
      </c>
      <c r="I12" t="s">
        <v>77</v>
      </c>
    </row>
    <row r="27" spans="2:9" x14ac:dyDescent="0.3">
      <c r="B27" t="s">
        <v>78</v>
      </c>
      <c r="I27" t="s">
        <v>79</v>
      </c>
    </row>
    <row r="40" spans="1:21" hidden="1" x14ac:dyDescent="0.3">
      <c r="A40" s="22" t="s">
        <v>17</v>
      </c>
    </row>
    <row r="41" spans="1:21" ht="15.6" hidden="1" x14ac:dyDescent="0.3">
      <c r="A41" s="2"/>
      <c r="B41" s="24">
        <v>2024</v>
      </c>
      <c r="C41" s="6" t="s">
        <v>19</v>
      </c>
      <c r="D41" s="6" t="s">
        <v>20</v>
      </c>
      <c r="E41" s="6" t="s">
        <v>21</v>
      </c>
      <c r="F41" s="6" t="s">
        <v>22</v>
      </c>
      <c r="G41" s="6" t="s">
        <v>23</v>
      </c>
      <c r="H41" s="6" t="s">
        <v>24</v>
      </c>
      <c r="I41" s="6" t="s">
        <v>25</v>
      </c>
      <c r="J41" s="6" t="s">
        <v>26</v>
      </c>
      <c r="K41" s="6" t="s">
        <v>27</v>
      </c>
      <c r="L41" s="6" t="s">
        <v>28</v>
      </c>
      <c r="M41" s="6" t="s">
        <v>29</v>
      </c>
      <c r="N41" s="6" t="s">
        <v>30</v>
      </c>
      <c r="O41" s="7"/>
      <c r="P41" s="7"/>
      <c r="Q41" s="2"/>
      <c r="R41" s="3"/>
      <c r="S41" s="4"/>
      <c r="T41" s="1"/>
      <c r="U41" s="1"/>
    </row>
    <row r="42" spans="1:21" s="1" customFormat="1" ht="15.6" hidden="1" x14ac:dyDescent="0.3">
      <c r="A42" s="23" t="s">
        <v>31</v>
      </c>
      <c r="B42" s="9">
        <v>7.0000000000000007E-2</v>
      </c>
      <c r="C42" s="9">
        <v>7.0000000000000007E-2</v>
      </c>
      <c r="D42" s="9">
        <v>1</v>
      </c>
      <c r="E42" s="9">
        <v>1</v>
      </c>
      <c r="F42" s="9">
        <v>7.0000000000000007E-2</v>
      </c>
      <c r="G42" s="9">
        <v>7.0000000000000007E-2</v>
      </c>
      <c r="H42" s="9">
        <v>7.0000000000000007E-2</v>
      </c>
      <c r="I42" s="9">
        <v>7.0000000000000007E-2</v>
      </c>
      <c r="J42" s="9">
        <v>7.0000000000000007E-2</v>
      </c>
      <c r="K42" s="9">
        <v>7.0000000000000007E-2</v>
      </c>
      <c r="L42" s="9">
        <v>7.0000000000000007E-2</v>
      </c>
      <c r="M42" s="9"/>
      <c r="N42" s="9"/>
      <c r="O42" s="17" t="s">
        <v>31</v>
      </c>
      <c r="P42" s="10"/>
      <c r="Q42" s="2"/>
      <c r="R42" s="3"/>
      <c r="S42" s="4"/>
    </row>
    <row r="43" spans="1:21" s="1" customFormat="1" ht="15.6" hidden="1" x14ac:dyDescent="0.3">
      <c r="A43" s="23" t="s">
        <v>32</v>
      </c>
      <c r="B43" s="9">
        <v>14</v>
      </c>
      <c r="C43" s="9">
        <v>14</v>
      </c>
      <c r="D43" s="9">
        <v>5</v>
      </c>
      <c r="E43" s="9">
        <v>5</v>
      </c>
      <c r="F43" s="9">
        <v>5</v>
      </c>
      <c r="G43" s="9">
        <v>4</v>
      </c>
      <c r="H43" s="9">
        <v>3</v>
      </c>
      <c r="I43" s="9">
        <v>3</v>
      </c>
      <c r="J43" s="9">
        <v>3</v>
      </c>
      <c r="K43" s="9">
        <v>3</v>
      </c>
      <c r="L43" s="9">
        <v>4</v>
      </c>
      <c r="M43" s="9"/>
      <c r="N43" s="9"/>
      <c r="O43" s="17" t="s">
        <v>32</v>
      </c>
      <c r="P43" s="10"/>
      <c r="Q43" s="2"/>
      <c r="R43" s="3"/>
      <c r="S43" s="4"/>
    </row>
    <row r="44" spans="1:21" s="1" customFormat="1" ht="15.6" hidden="1" x14ac:dyDescent="0.3">
      <c r="A44" s="23" t="s">
        <v>3</v>
      </c>
      <c r="B44" s="9">
        <v>1</v>
      </c>
      <c r="C44" s="9">
        <v>5</v>
      </c>
      <c r="D44" s="9">
        <v>5</v>
      </c>
      <c r="E44" s="9">
        <v>5</v>
      </c>
      <c r="F44" s="9">
        <v>5</v>
      </c>
      <c r="G44" s="9">
        <v>5</v>
      </c>
      <c r="H44" s="9">
        <v>5</v>
      </c>
      <c r="I44" s="9">
        <v>2</v>
      </c>
      <c r="J44" s="9">
        <v>3</v>
      </c>
      <c r="K44" s="9">
        <v>3</v>
      </c>
      <c r="L44" s="9">
        <v>3</v>
      </c>
      <c r="M44" s="9"/>
      <c r="N44" s="9"/>
      <c r="O44" s="17" t="s">
        <v>3</v>
      </c>
      <c r="P44" s="10"/>
      <c r="Q44" s="2"/>
      <c r="R44" s="3"/>
      <c r="S44" s="4"/>
    </row>
    <row r="45" spans="1:21" s="1" customFormat="1" ht="15.6" hidden="1" x14ac:dyDescent="0.3">
      <c r="A45" s="23" t="s">
        <v>33</v>
      </c>
      <c r="B45" s="9">
        <v>7.0000000000000007E-2</v>
      </c>
      <c r="C45" s="9">
        <v>7.0000000000000007E-2</v>
      </c>
      <c r="D45" s="9">
        <v>7.0000000000000007E-2</v>
      </c>
      <c r="E45" s="9">
        <v>7.0000000000000007E-2</v>
      </c>
      <c r="F45" s="9">
        <v>7.0000000000000007E-2</v>
      </c>
      <c r="G45" s="9">
        <v>7.0000000000000007E-2</v>
      </c>
      <c r="H45" s="9">
        <v>7.0000000000000007E-2</v>
      </c>
      <c r="I45" s="9">
        <v>7.0000000000000007E-2</v>
      </c>
      <c r="J45" s="9">
        <v>7.0000000000000007E-2</v>
      </c>
      <c r="K45" s="9">
        <v>7.0000000000000007E-2</v>
      </c>
      <c r="L45" s="9">
        <v>7.0000000000000007E-2</v>
      </c>
      <c r="M45" s="9"/>
      <c r="N45" s="9"/>
      <c r="O45" s="17" t="s">
        <v>33</v>
      </c>
      <c r="P45" s="10"/>
      <c r="Q45" s="2"/>
      <c r="R45" s="3"/>
      <c r="S45" s="4"/>
    </row>
    <row r="47" spans="1:21" x14ac:dyDescent="0.3">
      <c r="A47" s="22" t="s">
        <v>17</v>
      </c>
    </row>
    <row r="48" spans="1:21" ht="15.6" x14ac:dyDescent="0.3">
      <c r="A48" s="2"/>
      <c r="B48" s="24">
        <v>2024</v>
      </c>
      <c r="C48" s="6" t="s">
        <v>19</v>
      </c>
      <c r="D48" s="6" t="s">
        <v>20</v>
      </c>
      <c r="E48" s="6" t="s">
        <v>21</v>
      </c>
      <c r="F48" s="6" t="s">
        <v>22</v>
      </c>
      <c r="G48" s="6" t="s">
        <v>23</v>
      </c>
      <c r="H48" s="6" t="s">
        <v>24</v>
      </c>
      <c r="I48" s="6" t="s">
        <v>25</v>
      </c>
      <c r="J48" s="6" t="s">
        <v>26</v>
      </c>
      <c r="K48" s="6" t="s">
        <v>27</v>
      </c>
      <c r="L48" s="6" t="s">
        <v>28</v>
      </c>
      <c r="M48" s="6" t="s">
        <v>29</v>
      </c>
      <c r="N48" s="6" t="s">
        <v>30</v>
      </c>
      <c r="O48" s="7"/>
      <c r="P48" s="7"/>
      <c r="Q48" s="2"/>
      <c r="R48" s="3"/>
      <c r="S48" s="4"/>
      <c r="T48" s="1"/>
      <c r="U48" s="1"/>
    </row>
    <row r="49" spans="1:19" s="1" customFormat="1" ht="15.6" x14ac:dyDescent="0.3">
      <c r="A49" s="25" t="s">
        <v>42</v>
      </c>
      <c r="B49" s="9">
        <v>7.0000000000000007E-2</v>
      </c>
      <c r="C49" s="9">
        <v>7.0000000000000007E-2</v>
      </c>
      <c r="D49" s="9">
        <v>1</v>
      </c>
      <c r="E49" s="9">
        <v>1</v>
      </c>
      <c r="F49" s="9">
        <v>7.0000000000000007E-2</v>
      </c>
      <c r="G49" s="9">
        <v>7.0000000000000007E-2</v>
      </c>
      <c r="H49" s="9">
        <v>7.0000000000000007E-2</v>
      </c>
      <c r="I49" s="9">
        <v>7.0000000000000007E-2</v>
      </c>
      <c r="J49" s="9">
        <v>7.0000000000000007E-2</v>
      </c>
      <c r="K49" s="9">
        <v>7.0000000000000007E-2</v>
      </c>
      <c r="L49" s="9">
        <v>7.0000000000000007E-2</v>
      </c>
      <c r="M49" s="9"/>
      <c r="N49" s="9"/>
      <c r="O49" s="17" t="s">
        <v>31</v>
      </c>
      <c r="P49" s="10"/>
      <c r="Q49" s="2"/>
      <c r="R49" s="3"/>
      <c r="S49" s="4"/>
    </row>
    <row r="50" spans="1:19" s="1" customFormat="1" ht="15.6" x14ac:dyDescent="0.3">
      <c r="A50" s="25" t="s">
        <v>42</v>
      </c>
      <c r="B50" s="9">
        <v>14</v>
      </c>
      <c r="C50" s="9">
        <v>14</v>
      </c>
      <c r="D50" s="9">
        <v>5</v>
      </c>
      <c r="E50" s="9">
        <v>5</v>
      </c>
      <c r="F50" s="9">
        <v>5</v>
      </c>
      <c r="G50" s="9">
        <v>4</v>
      </c>
      <c r="H50" s="9">
        <v>3</v>
      </c>
      <c r="I50" s="9">
        <v>3</v>
      </c>
      <c r="J50" s="9">
        <v>3</v>
      </c>
      <c r="K50" s="9">
        <v>3</v>
      </c>
      <c r="L50" s="9">
        <v>4</v>
      </c>
      <c r="M50" s="9"/>
      <c r="N50" s="9"/>
      <c r="O50" s="17" t="s">
        <v>32</v>
      </c>
      <c r="P50" s="10"/>
      <c r="Q50" s="2"/>
      <c r="R50" s="3"/>
      <c r="S50" s="4"/>
    </row>
    <row r="51" spans="1:19" s="1" customFormat="1" ht="15.6" x14ac:dyDescent="0.3">
      <c r="A51" s="25" t="s">
        <v>42</v>
      </c>
      <c r="B51" s="9">
        <v>1</v>
      </c>
      <c r="C51" s="9">
        <v>5</v>
      </c>
      <c r="D51" s="9">
        <v>5</v>
      </c>
      <c r="E51" s="9">
        <v>5</v>
      </c>
      <c r="F51" s="9">
        <v>5</v>
      </c>
      <c r="G51" s="9">
        <v>5</v>
      </c>
      <c r="H51" s="9">
        <v>5</v>
      </c>
      <c r="I51" s="9">
        <v>2</v>
      </c>
      <c r="J51" s="9">
        <v>3</v>
      </c>
      <c r="K51" s="9">
        <v>3</v>
      </c>
      <c r="L51" s="9">
        <v>3</v>
      </c>
      <c r="M51" s="9"/>
      <c r="N51" s="9"/>
      <c r="O51" s="17" t="s">
        <v>3</v>
      </c>
      <c r="P51" s="10"/>
      <c r="Q51" s="2"/>
      <c r="R51" s="3"/>
      <c r="S51" s="4"/>
    </row>
    <row r="52" spans="1:19" s="1" customFormat="1" ht="15.6" x14ac:dyDescent="0.3">
      <c r="A52" s="25" t="s">
        <v>42</v>
      </c>
      <c r="B52" s="9">
        <v>7.0000000000000007E-2</v>
      </c>
      <c r="C52" s="9">
        <v>7.0000000000000007E-2</v>
      </c>
      <c r="D52" s="9">
        <v>7.0000000000000007E-2</v>
      </c>
      <c r="E52" s="9">
        <v>7.0000000000000007E-2</v>
      </c>
      <c r="F52" s="9">
        <v>7.0000000000000007E-2</v>
      </c>
      <c r="G52" s="9">
        <v>7.0000000000000007E-2</v>
      </c>
      <c r="H52" s="9">
        <v>7.0000000000000007E-2</v>
      </c>
      <c r="I52" s="9">
        <v>7.0000000000000007E-2</v>
      </c>
      <c r="J52" s="9">
        <v>7.0000000000000007E-2</v>
      </c>
      <c r="K52" s="9">
        <v>7.0000000000000007E-2</v>
      </c>
      <c r="L52" s="9">
        <v>7.0000000000000007E-2</v>
      </c>
      <c r="M52" s="9"/>
      <c r="N52" s="9"/>
      <c r="O52" s="17" t="s">
        <v>33</v>
      </c>
      <c r="P52" s="10"/>
      <c r="Q52" s="2"/>
      <c r="R52" s="3"/>
      <c r="S52" s="4"/>
    </row>
    <row r="53" spans="1:19" s="1" customFormat="1" ht="15.6" x14ac:dyDescent="0.3">
      <c r="A53" s="25" t="s">
        <v>41</v>
      </c>
      <c r="B53" s="9">
        <v>7.0000000000000007E-2</v>
      </c>
      <c r="C53" s="9">
        <v>7.0000000000000007E-2</v>
      </c>
      <c r="D53" s="9">
        <v>7.0000000000000007E-2</v>
      </c>
      <c r="E53" s="9">
        <v>7.0000000000000007E-2</v>
      </c>
      <c r="F53" s="9">
        <v>7.0000000000000007E-2</v>
      </c>
      <c r="G53" s="9">
        <v>7.0000000000000007E-2</v>
      </c>
      <c r="H53" s="9">
        <v>7.0000000000000007E-2</v>
      </c>
      <c r="I53" s="9">
        <v>7.0000000000000007E-2</v>
      </c>
      <c r="J53" s="9">
        <v>7.0000000000000007E-2</v>
      </c>
      <c r="K53" s="9">
        <v>7.0000000000000007E-2</v>
      </c>
      <c r="L53" s="9">
        <v>7.0000000000000007E-2</v>
      </c>
      <c r="M53" s="9">
        <v>7.0000000000000007E-2</v>
      </c>
      <c r="N53" s="9">
        <v>7.0000000000000007E-2</v>
      </c>
      <c r="O53" s="17" t="s">
        <v>31</v>
      </c>
      <c r="P53" s="10"/>
      <c r="Q53" s="2"/>
      <c r="R53" s="3"/>
      <c r="S53" s="4"/>
    </row>
    <row r="54" spans="1:19" s="1" customFormat="1" ht="15.6" x14ac:dyDescent="0.3">
      <c r="A54" s="25" t="s">
        <v>41</v>
      </c>
      <c r="B54" s="9">
        <v>14</v>
      </c>
      <c r="C54" s="9">
        <v>14</v>
      </c>
      <c r="D54" s="9">
        <v>8</v>
      </c>
      <c r="E54" s="9">
        <v>0.4</v>
      </c>
      <c r="F54" s="9">
        <v>0.4</v>
      </c>
      <c r="G54" s="9">
        <v>0.4</v>
      </c>
      <c r="H54" s="9">
        <v>0.4</v>
      </c>
      <c r="I54" s="9">
        <v>0.4</v>
      </c>
      <c r="J54" s="9">
        <v>0.4</v>
      </c>
      <c r="K54" s="9">
        <v>0.4</v>
      </c>
      <c r="L54" s="9">
        <v>0.4</v>
      </c>
      <c r="M54" s="9">
        <v>0.4</v>
      </c>
      <c r="N54" s="9">
        <v>0.4</v>
      </c>
      <c r="O54" s="17" t="s">
        <v>32</v>
      </c>
      <c r="P54" s="10"/>
      <c r="Q54" s="2"/>
      <c r="R54" s="3"/>
      <c r="S54" s="4"/>
    </row>
    <row r="55" spans="1:19" s="1" customFormat="1" ht="15.6" x14ac:dyDescent="0.3">
      <c r="A55" s="25" t="s">
        <v>41</v>
      </c>
      <c r="B55" s="9">
        <v>1</v>
      </c>
      <c r="C55" s="9">
        <v>5</v>
      </c>
      <c r="D55" s="9">
        <v>5</v>
      </c>
      <c r="E55" s="9">
        <v>3</v>
      </c>
      <c r="F55" s="9">
        <v>1</v>
      </c>
      <c r="G55" s="9">
        <v>0.26</v>
      </c>
      <c r="H55" s="9">
        <v>0.26</v>
      </c>
      <c r="I55" s="9">
        <v>0.26</v>
      </c>
      <c r="J55" s="9">
        <v>0.26</v>
      </c>
      <c r="K55" s="9">
        <v>0.26</v>
      </c>
      <c r="L55" s="9">
        <v>0.26</v>
      </c>
      <c r="M55" s="9">
        <v>0.26</v>
      </c>
      <c r="N55" s="9">
        <v>0.26</v>
      </c>
      <c r="O55" s="17" t="s">
        <v>3</v>
      </c>
      <c r="P55" s="10"/>
      <c r="Q55" s="2"/>
      <c r="R55" s="3"/>
      <c r="S55" s="4"/>
    </row>
    <row r="56" spans="1:19" s="1" customFormat="1" ht="15.6" x14ac:dyDescent="0.3">
      <c r="A56" s="25" t="s">
        <v>41</v>
      </c>
      <c r="B56" s="9">
        <v>7.0000000000000007E-2</v>
      </c>
      <c r="C56" s="9">
        <v>0.08</v>
      </c>
      <c r="D56" s="9">
        <v>0.08</v>
      </c>
      <c r="E56" s="9">
        <v>0.08</v>
      </c>
      <c r="F56" s="9">
        <v>0.08</v>
      </c>
      <c r="G56" s="9">
        <v>0.08</v>
      </c>
      <c r="H56" s="9">
        <v>0.08</v>
      </c>
      <c r="I56" s="9">
        <v>0.08</v>
      </c>
      <c r="J56" s="9">
        <v>0.08</v>
      </c>
      <c r="K56" s="9">
        <v>0.08</v>
      </c>
      <c r="L56" s="9">
        <v>0.08</v>
      </c>
      <c r="M56" s="9">
        <v>0.08</v>
      </c>
      <c r="N56" s="9">
        <v>0.08</v>
      </c>
      <c r="O56" s="17" t="s">
        <v>33</v>
      </c>
      <c r="P56" s="10"/>
      <c r="Q56" s="2"/>
      <c r="R56" s="3"/>
      <c r="S56" s="4"/>
    </row>
    <row r="59" spans="1:19" x14ac:dyDescent="0.3">
      <c r="B59" t="s">
        <v>76</v>
      </c>
      <c r="I59" t="s">
        <v>77</v>
      </c>
    </row>
    <row r="73" spans="2:9" x14ac:dyDescent="0.3">
      <c r="B73" t="s">
        <v>78</v>
      </c>
      <c r="I73" t="s">
        <v>79</v>
      </c>
    </row>
    <row r="89" spans="1:21" hidden="1" x14ac:dyDescent="0.3"/>
    <row r="90" spans="1:21" hidden="1" x14ac:dyDescent="0.3">
      <c r="A90" s="22" t="s">
        <v>18</v>
      </c>
    </row>
    <row r="91" spans="1:21" ht="15.6" hidden="1" x14ac:dyDescent="0.3">
      <c r="A91" s="2"/>
      <c r="B91" s="24">
        <v>2024</v>
      </c>
      <c r="C91" s="6" t="s">
        <v>19</v>
      </c>
      <c r="D91" s="6" t="s">
        <v>20</v>
      </c>
      <c r="E91" s="6" t="s">
        <v>21</v>
      </c>
      <c r="F91" s="6" t="s">
        <v>22</v>
      </c>
      <c r="G91" s="6" t="s">
        <v>23</v>
      </c>
      <c r="H91" s="6" t="s">
        <v>24</v>
      </c>
      <c r="I91" s="6" t="s">
        <v>25</v>
      </c>
      <c r="J91" s="6" t="s">
        <v>26</v>
      </c>
      <c r="K91" s="6" t="s">
        <v>27</v>
      </c>
      <c r="L91" s="6" t="s">
        <v>28</v>
      </c>
      <c r="M91" s="6" t="s">
        <v>29</v>
      </c>
      <c r="N91" s="6" t="s">
        <v>30</v>
      </c>
      <c r="O91" s="7"/>
      <c r="P91" s="7"/>
      <c r="Q91" s="2"/>
      <c r="R91" s="3"/>
      <c r="S91" s="4"/>
      <c r="T91" s="1"/>
      <c r="U91" s="1"/>
    </row>
    <row r="92" spans="1:21" s="1" customFormat="1" ht="15.6" hidden="1" x14ac:dyDescent="0.3">
      <c r="A92" s="23" t="s">
        <v>31</v>
      </c>
      <c r="B92" s="9">
        <v>1</v>
      </c>
      <c r="C92" s="9">
        <v>1</v>
      </c>
      <c r="D92" s="9">
        <v>2</v>
      </c>
      <c r="E92" s="9">
        <v>2</v>
      </c>
      <c r="F92" s="9">
        <v>1</v>
      </c>
      <c r="G92" s="9">
        <v>2</v>
      </c>
      <c r="H92" s="9">
        <v>1</v>
      </c>
      <c r="I92" s="9">
        <v>7.0000000000000007E-2</v>
      </c>
      <c r="J92" s="9">
        <v>1</v>
      </c>
      <c r="K92" s="9">
        <v>7.0000000000000007E-2</v>
      </c>
      <c r="L92" s="9">
        <v>1</v>
      </c>
      <c r="M92" s="9"/>
      <c r="N92" s="9"/>
      <c r="O92" s="17" t="s">
        <v>31</v>
      </c>
      <c r="P92" s="10"/>
      <c r="Q92" s="2"/>
      <c r="R92" s="3"/>
      <c r="S92" s="4"/>
    </row>
    <row r="93" spans="1:21" s="1" customFormat="1" ht="15.6" hidden="1" x14ac:dyDescent="0.3">
      <c r="A93" s="23" t="s">
        <v>32</v>
      </c>
      <c r="B93" s="9">
        <v>8</v>
      </c>
      <c r="C93" s="9">
        <v>8</v>
      </c>
      <c r="D93" s="9">
        <v>8</v>
      </c>
      <c r="E93" s="9">
        <v>7.0000000000000007E-2</v>
      </c>
      <c r="F93" s="9">
        <v>7.0000000000000007E-2</v>
      </c>
      <c r="G93" s="9">
        <v>1</v>
      </c>
      <c r="H93" s="9">
        <v>1</v>
      </c>
      <c r="I93" s="9">
        <v>1</v>
      </c>
      <c r="J93" s="9">
        <v>1</v>
      </c>
      <c r="K93" s="9">
        <v>1</v>
      </c>
      <c r="L93" s="9">
        <v>1</v>
      </c>
      <c r="M93" s="9"/>
      <c r="N93" s="9"/>
      <c r="O93" s="17" t="s">
        <v>32</v>
      </c>
      <c r="P93" s="10"/>
      <c r="Q93" s="2"/>
      <c r="R93" s="3"/>
      <c r="S93" s="4"/>
    </row>
    <row r="94" spans="1:21" s="1" customFormat="1" ht="15.6" hidden="1" x14ac:dyDescent="0.3">
      <c r="A94" s="23" t="s">
        <v>3</v>
      </c>
      <c r="B94" s="9">
        <v>7.0000000000000007E-2</v>
      </c>
      <c r="C94" s="9">
        <v>1</v>
      </c>
      <c r="D94" s="9">
        <v>1</v>
      </c>
      <c r="E94" s="9">
        <v>1</v>
      </c>
      <c r="F94" s="9">
        <v>1</v>
      </c>
      <c r="G94" s="9">
        <v>1</v>
      </c>
      <c r="H94" s="9">
        <v>1</v>
      </c>
      <c r="I94" s="9">
        <v>7.0000000000000007E-2</v>
      </c>
      <c r="J94" s="9">
        <v>7.0000000000000007E-2</v>
      </c>
      <c r="K94" s="9">
        <v>7.0000000000000007E-2</v>
      </c>
      <c r="L94" s="9">
        <v>7.0000000000000007E-2</v>
      </c>
      <c r="M94" s="9"/>
      <c r="N94" s="9"/>
      <c r="O94" s="17" t="s">
        <v>3</v>
      </c>
      <c r="P94" s="10"/>
      <c r="Q94" s="2"/>
      <c r="R94" s="3"/>
      <c r="S94" s="4"/>
    </row>
    <row r="95" spans="1:21" s="1" customFormat="1" ht="15.6" hidden="1" x14ac:dyDescent="0.3">
      <c r="A95" s="23" t="s">
        <v>33</v>
      </c>
      <c r="B95" s="9">
        <v>1</v>
      </c>
      <c r="C95" s="9">
        <v>2</v>
      </c>
      <c r="D95" s="9">
        <v>1</v>
      </c>
      <c r="E95" s="9">
        <v>1</v>
      </c>
      <c r="F95" s="9">
        <v>1</v>
      </c>
      <c r="G95" s="9">
        <v>7.0000000000000007E-2</v>
      </c>
      <c r="H95" s="9">
        <v>7.0000000000000007E-2</v>
      </c>
      <c r="I95" s="9">
        <v>7.0000000000000007E-2</v>
      </c>
      <c r="J95" s="9">
        <v>7.0000000000000007E-2</v>
      </c>
      <c r="K95" s="9">
        <v>7.0000000000000007E-2</v>
      </c>
      <c r="L95" s="9">
        <v>7.0000000000000007E-2</v>
      </c>
      <c r="M95" s="9"/>
      <c r="N95" s="9"/>
      <c r="O95" s="17" t="s">
        <v>33</v>
      </c>
      <c r="P95" s="10"/>
      <c r="Q95" s="2"/>
      <c r="R95" s="3"/>
      <c r="S95" s="4"/>
    </row>
    <row r="97" spans="1:21" x14ac:dyDescent="0.3">
      <c r="A97" s="22" t="s">
        <v>18</v>
      </c>
    </row>
    <row r="98" spans="1:21" ht="15.6" x14ac:dyDescent="0.3">
      <c r="A98" s="2"/>
      <c r="B98" s="24">
        <v>2024</v>
      </c>
      <c r="C98" s="6" t="s">
        <v>19</v>
      </c>
      <c r="D98" s="6" t="s">
        <v>20</v>
      </c>
      <c r="E98" s="6" t="s">
        <v>21</v>
      </c>
      <c r="F98" s="6" t="s">
        <v>22</v>
      </c>
      <c r="G98" s="6" t="s">
        <v>23</v>
      </c>
      <c r="H98" s="6" t="s">
        <v>24</v>
      </c>
      <c r="I98" s="6" t="s">
        <v>25</v>
      </c>
      <c r="J98" s="6" t="s">
        <v>26</v>
      </c>
      <c r="K98" s="6" t="s">
        <v>27</v>
      </c>
      <c r="L98" s="6" t="s">
        <v>28</v>
      </c>
      <c r="M98" s="6" t="s">
        <v>29</v>
      </c>
      <c r="N98" s="6" t="s">
        <v>30</v>
      </c>
      <c r="O98" s="7"/>
      <c r="P98" s="7"/>
      <c r="Q98" s="2"/>
      <c r="R98" s="3"/>
      <c r="S98" s="4"/>
      <c r="T98" s="1"/>
      <c r="U98" s="1"/>
    </row>
    <row r="99" spans="1:21" s="1" customFormat="1" ht="15.6" x14ac:dyDescent="0.3">
      <c r="A99" s="25" t="s">
        <v>42</v>
      </c>
      <c r="B99" s="9">
        <v>1</v>
      </c>
      <c r="C99" s="9">
        <v>1</v>
      </c>
      <c r="D99" s="9">
        <v>2</v>
      </c>
      <c r="E99" s="9">
        <v>2</v>
      </c>
      <c r="F99" s="9">
        <v>1</v>
      </c>
      <c r="G99" s="9">
        <v>2</v>
      </c>
      <c r="H99" s="9">
        <v>1</v>
      </c>
      <c r="I99" s="9">
        <v>7.0000000000000007E-2</v>
      </c>
      <c r="J99" s="9">
        <v>1</v>
      </c>
      <c r="K99" s="9">
        <v>7.0000000000000007E-2</v>
      </c>
      <c r="L99" s="9">
        <v>1</v>
      </c>
      <c r="M99" s="9"/>
      <c r="N99" s="9"/>
      <c r="O99" s="17" t="s">
        <v>31</v>
      </c>
      <c r="P99" s="10"/>
      <c r="Q99" s="2"/>
      <c r="R99" s="3"/>
      <c r="S99" s="4"/>
    </row>
    <row r="100" spans="1:21" s="1" customFormat="1" ht="15.6" x14ac:dyDescent="0.3">
      <c r="A100" s="25" t="s">
        <v>42</v>
      </c>
      <c r="B100" s="9">
        <v>8</v>
      </c>
      <c r="C100" s="9">
        <v>8</v>
      </c>
      <c r="D100" s="9">
        <v>8</v>
      </c>
      <c r="E100" s="9">
        <v>7.0000000000000007E-2</v>
      </c>
      <c r="F100" s="9">
        <v>7.0000000000000007E-2</v>
      </c>
      <c r="G100" s="9">
        <v>1</v>
      </c>
      <c r="H100" s="9">
        <v>1</v>
      </c>
      <c r="I100" s="9">
        <v>1</v>
      </c>
      <c r="J100" s="9">
        <v>1</v>
      </c>
      <c r="K100" s="9">
        <v>1</v>
      </c>
      <c r="L100" s="9">
        <v>1</v>
      </c>
      <c r="M100" s="9"/>
      <c r="N100" s="9"/>
      <c r="O100" s="17" t="s">
        <v>32</v>
      </c>
      <c r="P100" s="10"/>
      <c r="Q100" s="2"/>
      <c r="R100" s="3"/>
      <c r="S100" s="4"/>
    </row>
    <row r="101" spans="1:21" s="1" customFormat="1" ht="15.6" x14ac:dyDescent="0.3">
      <c r="A101" s="25" t="s">
        <v>42</v>
      </c>
      <c r="B101" s="9">
        <v>7.0000000000000007E-2</v>
      </c>
      <c r="C101" s="9">
        <v>1</v>
      </c>
      <c r="D101" s="9">
        <v>1</v>
      </c>
      <c r="E101" s="9">
        <v>1</v>
      </c>
      <c r="F101" s="9">
        <v>1</v>
      </c>
      <c r="G101" s="9">
        <v>1</v>
      </c>
      <c r="H101" s="9">
        <v>1</v>
      </c>
      <c r="I101" s="9">
        <v>7.0000000000000007E-2</v>
      </c>
      <c r="J101" s="9">
        <v>7.0000000000000007E-2</v>
      </c>
      <c r="K101" s="9">
        <v>7.0000000000000007E-2</v>
      </c>
      <c r="L101" s="9">
        <v>7.0000000000000007E-2</v>
      </c>
      <c r="M101" s="9"/>
      <c r="N101" s="9"/>
      <c r="O101" s="17" t="s">
        <v>3</v>
      </c>
      <c r="P101" s="10"/>
      <c r="Q101" s="2"/>
      <c r="R101" s="3"/>
      <c r="S101" s="4"/>
    </row>
    <row r="102" spans="1:21" s="1" customFormat="1" ht="15.6" x14ac:dyDescent="0.3">
      <c r="A102" s="25" t="s">
        <v>42</v>
      </c>
      <c r="B102" s="9">
        <v>1</v>
      </c>
      <c r="C102" s="9">
        <v>2</v>
      </c>
      <c r="D102" s="9">
        <v>1</v>
      </c>
      <c r="E102" s="9">
        <v>1</v>
      </c>
      <c r="F102" s="9">
        <v>1</v>
      </c>
      <c r="G102" s="9">
        <v>7.0000000000000007E-2</v>
      </c>
      <c r="H102" s="9">
        <v>7.0000000000000007E-2</v>
      </c>
      <c r="I102" s="9">
        <v>7.0000000000000007E-2</v>
      </c>
      <c r="J102" s="9">
        <v>7.0000000000000007E-2</v>
      </c>
      <c r="K102" s="9">
        <v>7.0000000000000007E-2</v>
      </c>
      <c r="L102" s="9">
        <v>7.0000000000000007E-2</v>
      </c>
      <c r="M102" s="9"/>
      <c r="N102" s="9"/>
      <c r="O102" s="17" t="s">
        <v>33</v>
      </c>
      <c r="P102" s="10"/>
      <c r="Q102" s="2"/>
      <c r="R102" s="3"/>
      <c r="S102" s="4"/>
    </row>
    <row r="103" spans="1:21" s="1" customFormat="1" ht="15.6" x14ac:dyDescent="0.3">
      <c r="A103" s="25" t="s">
        <v>41</v>
      </c>
      <c r="B103" s="9">
        <v>1</v>
      </c>
      <c r="C103" s="9">
        <v>1</v>
      </c>
      <c r="D103" s="9">
        <v>7.0000000000000007E-2</v>
      </c>
      <c r="E103" s="9">
        <v>7.0000000000000007E-2</v>
      </c>
      <c r="F103" s="9">
        <v>7.0000000000000007E-2</v>
      </c>
      <c r="G103" s="9">
        <v>7.0000000000000007E-2</v>
      </c>
      <c r="H103" s="9">
        <v>7.0000000000000007E-2</v>
      </c>
      <c r="I103" s="9">
        <v>7.0000000000000007E-2</v>
      </c>
      <c r="J103" s="9">
        <v>7.0000000000000007E-2</v>
      </c>
      <c r="K103" s="9">
        <v>7.0000000000000007E-2</v>
      </c>
      <c r="L103" s="9">
        <v>7.0000000000000007E-2</v>
      </c>
      <c r="M103" s="9">
        <v>7.0000000000000007E-2</v>
      </c>
      <c r="N103" s="9">
        <v>7.0000000000000007E-2</v>
      </c>
      <c r="O103" s="17" t="s">
        <v>31</v>
      </c>
      <c r="P103" s="10"/>
      <c r="Q103" s="2"/>
      <c r="R103" s="3"/>
      <c r="S103" s="4"/>
    </row>
    <row r="104" spans="1:21" s="1" customFormat="1" ht="15.6" x14ac:dyDescent="0.3">
      <c r="A104" s="25" t="s">
        <v>41</v>
      </c>
      <c r="B104" s="9">
        <v>8</v>
      </c>
      <c r="C104" s="9">
        <v>8</v>
      </c>
      <c r="D104" s="9">
        <v>5</v>
      </c>
      <c r="E104" s="9">
        <v>4</v>
      </c>
      <c r="F104" s="9">
        <v>2</v>
      </c>
      <c r="G104" s="9">
        <v>7.0000000000000007E-2</v>
      </c>
      <c r="H104" s="9">
        <v>7.0000000000000007E-2</v>
      </c>
      <c r="I104" s="9">
        <v>7.0000000000000007E-2</v>
      </c>
      <c r="J104" s="9">
        <v>7.0000000000000007E-2</v>
      </c>
      <c r="K104" s="9">
        <v>7.0000000000000007E-2</v>
      </c>
      <c r="L104" s="9">
        <v>7.0000000000000007E-2</v>
      </c>
      <c r="M104" s="9">
        <v>7.0000000000000007E-2</v>
      </c>
      <c r="N104" s="9">
        <v>7.0000000000000007E-2</v>
      </c>
      <c r="O104" s="17" t="s">
        <v>32</v>
      </c>
      <c r="P104" s="10"/>
      <c r="Q104" s="2"/>
      <c r="R104" s="3"/>
      <c r="S104" s="4"/>
    </row>
    <row r="105" spans="1:21" s="1" customFormat="1" ht="15.6" x14ac:dyDescent="0.3">
      <c r="A105" s="25" t="s">
        <v>41</v>
      </c>
      <c r="B105" s="9">
        <v>7.0000000000000007E-2</v>
      </c>
      <c r="C105" s="9">
        <v>7.0000000000000007E-2</v>
      </c>
      <c r="D105" s="9">
        <v>7.0000000000000007E-2</v>
      </c>
      <c r="E105" s="9">
        <v>7.0000000000000007E-2</v>
      </c>
      <c r="F105" s="9">
        <v>7.0000000000000007E-2</v>
      </c>
      <c r="G105" s="9">
        <v>7.0000000000000007E-2</v>
      </c>
      <c r="H105" s="9">
        <v>7.0000000000000007E-2</v>
      </c>
      <c r="I105" s="9">
        <v>7.0000000000000007E-2</v>
      </c>
      <c r="J105" s="9">
        <v>7.0000000000000007E-2</v>
      </c>
      <c r="K105" s="9">
        <v>7.0000000000000007E-2</v>
      </c>
      <c r="L105" s="9">
        <v>7.0000000000000007E-2</v>
      </c>
      <c r="M105" s="9">
        <v>7.0000000000000007E-2</v>
      </c>
      <c r="N105" s="9">
        <v>7.0000000000000007E-2</v>
      </c>
      <c r="O105" s="17" t="s">
        <v>3</v>
      </c>
      <c r="P105" s="10"/>
      <c r="Q105" s="2"/>
      <c r="R105" s="3"/>
      <c r="S105" s="4"/>
    </row>
    <row r="106" spans="1:21" s="1" customFormat="1" ht="15.6" x14ac:dyDescent="0.3">
      <c r="A106" s="25" t="s">
        <v>41</v>
      </c>
      <c r="B106" s="9">
        <v>1</v>
      </c>
      <c r="C106" s="9">
        <v>2</v>
      </c>
      <c r="D106" s="9">
        <v>7.0000000000000007E-2</v>
      </c>
      <c r="E106" s="9">
        <v>7.0000000000000007E-2</v>
      </c>
      <c r="F106" s="9">
        <v>7.0000000000000007E-2</v>
      </c>
      <c r="G106" s="9">
        <v>7.0000000000000007E-2</v>
      </c>
      <c r="H106" s="9">
        <v>7.0000000000000007E-2</v>
      </c>
      <c r="I106" s="9">
        <v>7.0000000000000007E-2</v>
      </c>
      <c r="J106" s="9">
        <v>7.0000000000000007E-2</v>
      </c>
      <c r="K106" s="9">
        <v>7.0000000000000007E-2</v>
      </c>
      <c r="L106" s="9">
        <v>7.0000000000000007E-2</v>
      </c>
      <c r="M106" s="9">
        <v>7.0000000000000007E-2</v>
      </c>
      <c r="N106" s="9">
        <v>7.0000000000000007E-2</v>
      </c>
      <c r="O106" s="17" t="s">
        <v>33</v>
      </c>
      <c r="P106" s="10"/>
      <c r="Q106" s="2"/>
      <c r="R106" s="3"/>
      <c r="S106" s="4"/>
    </row>
    <row r="108" spans="1:21" x14ac:dyDescent="0.3">
      <c r="B108" t="s">
        <v>76</v>
      </c>
      <c r="I108" t="s">
        <v>77</v>
      </c>
    </row>
    <row r="122" spans="2:9" x14ac:dyDescent="0.3">
      <c r="B122" t="s">
        <v>78</v>
      </c>
      <c r="I122" t="s">
        <v>79</v>
      </c>
    </row>
    <row r="137" spans="1:21" ht="15.6" x14ac:dyDescent="0.3">
      <c r="A137" s="2"/>
      <c r="B137" s="5" t="s">
        <v>58</v>
      </c>
      <c r="C137" s="5" t="s">
        <v>59</v>
      </c>
      <c r="D137" s="5" t="s">
        <v>60</v>
      </c>
      <c r="E137" s="5" t="s">
        <v>61</v>
      </c>
      <c r="F137" s="6" t="s">
        <v>62</v>
      </c>
      <c r="G137" s="6" t="s">
        <v>63</v>
      </c>
      <c r="H137" s="6" t="s">
        <v>64</v>
      </c>
      <c r="I137" s="6" t="s">
        <v>65</v>
      </c>
      <c r="J137" s="6" t="s">
        <v>66</v>
      </c>
      <c r="K137" s="6" t="s">
        <v>67</v>
      </c>
      <c r="L137" s="6" t="s">
        <v>68</v>
      </c>
      <c r="M137" s="6" t="s">
        <v>69</v>
      </c>
      <c r="N137" s="6" t="s">
        <v>70</v>
      </c>
      <c r="O137" s="6" t="s">
        <v>71</v>
      </c>
      <c r="P137" s="6" t="s">
        <v>72</v>
      </c>
      <c r="Q137" s="6" t="s">
        <v>73</v>
      </c>
      <c r="R137" s="6" t="s">
        <v>74</v>
      </c>
      <c r="S137" s="6" t="s">
        <v>75</v>
      </c>
      <c r="T137" s="6"/>
      <c r="U137" s="6"/>
    </row>
    <row r="138" spans="1:21" s="1" customFormat="1" ht="15.6" x14ac:dyDescent="0.3">
      <c r="A138" s="23" t="s">
        <v>56</v>
      </c>
      <c r="B138" s="9">
        <v>8</v>
      </c>
      <c r="C138" s="9">
        <v>6</v>
      </c>
      <c r="D138" s="9">
        <v>5</v>
      </c>
      <c r="E138" s="9">
        <v>1</v>
      </c>
      <c r="F138" s="9">
        <v>1</v>
      </c>
      <c r="G138" s="9">
        <v>5</v>
      </c>
      <c r="H138" s="9">
        <v>9</v>
      </c>
      <c r="I138" s="9">
        <v>3</v>
      </c>
      <c r="J138" s="9">
        <v>1</v>
      </c>
      <c r="K138" s="9"/>
      <c r="M138" s="9"/>
      <c r="N138" s="9">
        <v>1</v>
      </c>
      <c r="O138" s="9">
        <v>1</v>
      </c>
      <c r="P138" s="9">
        <v>2</v>
      </c>
      <c r="Q138" s="9"/>
      <c r="R138" s="9"/>
      <c r="S138" s="9"/>
      <c r="T138" s="9"/>
      <c r="U138" s="9"/>
    </row>
    <row r="139" spans="1:21" s="1" customFormat="1" ht="15.6" x14ac:dyDescent="0.3">
      <c r="A139" s="23" t="s">
        <v>17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>
        <v>1</v>
      </c>
      <c r="M139" s="9">
        <v>2</v>
      </c>
      <c r="N139" s="9">
        <v>1</v>
      </c>
      <c r="O139" s="9"/>
      <c r="P139" s="9"/>
      <c r="Q139" s="9">
        <v>1</v>
      </c>
      <c r="R139" s="9">
        <v>1</v>
      </c>
      <c r="S139" s="9">
        <v>1</v>
      </c>
      <c r="T139" s="9"/>
      <c r="U139" s="9"/>
    </row>
    <row r="140" spans="1:21" s="1" customFormat="1" ht="15.6" x14ac:dyDescent="0.3">
      <c r="A140" s="23" t="s">
        <v>18</v>
      </c>
      <c r="B140" s="9"/>
      <c r="C140" s="9">
        <v>1</v>
      </c>
      <c r="D140" s="9"/>
      <c r="E140" s="9"/>
      <c r="F140" s="9"/>
      <c r="G140" s="9"/>
      <c r="H140" s="9"/>
      <c r="I140" s="9"/>
      <c r="J140" s="9"/>
      <c r="K140" s="9">
        <v>1</v>
      </c>
      <c r="L140" s="9"/>
      <c r="M140" s="9"/>
      <c r="N140" s="9"/>
      <c r="O140" s="9"/>
      <c r="P140" s="9"/>
      <c r="Q140" s="9"/>
      <c r="R140" s="9"/>
      <c r="S140" s="9"/>
      <c r="T140" s="9"/>
      <c r="U140" s="9"/>
    </row>
  </sheetData>
  <phoneticPr fontId="6" type="noConversion"/>
  <conditionalFormatting sqref="B138:K138">
    <cfRule type="cellIs" dxfId="12" priority="51" operator="greaterThan">
      <formula>0</formula>
    </cfRule>
  </conditionalFormatting>
  <conditionalFormatting sqref="B3:P10">
    <cfRule type="cellIs" dxfId="11" priority="48" operator="greaterThan">
      <formula>0</formula>
    </cfRule>
  </conditionalFormatting>
  <conditionalFormatting sqref="B42:P45">
    <cfRule type="cellIs" dxfId="10" priority="61" operator="greaterThan">
      <formula>0</formula>
    </cfRule>
  </conditionalFormatting>
  <conditionalFormatting sqref="B49:P56">
    <cfRule type="cellIs" dxfId="9" priority="32" operator="greaterThan">
      <formula>0</formula>
    </cfRule>
  </conditionalFormatting>
  <conditionalFormatting sqref="B92:P95">
    <cfRule type="cellIs" dxfId="8" priority="55" operator="greaterThan">
      <formula>0</formula>
    </cfRule>
  </conditionalFormatting>
  <conditionalFormatting sqref="B99:P106">
    <cfRule type="cellIs" dxfId="7" priority="1" operator="greaterThan">
      <formula>0</formula>
    </cfRule>
  </conditionalFormatting>
  <conditionalFormatting sqref="L139">
    <cfRule type="cellIs" dxfId="6" priority="69" operator="greaterThan">
      <formula>0</formula>
    </cfRule>
  </conditionalFormatting>
  <conditionalFormatting sqref="M138:U138 B139:U140">
    <cfRule type="cellIs" dxfId="5" priority="54" operator="greaterThan">
      <formula>0</formula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AF074-4561-424E-9803-1930BDD04062}">
  <dimension ref="A1:V127"/>
  <sheetViews>
    <sheetView zoomScale="70" zoomScaleNormal="70" workbookViewId="0">
      <selection activeCell="Q16" sqref="Q16"/>
    </sheetView>
  </sheetViews>
  <sheetFormatPr defaultRowHeight="14.4" x14ac:dyDescent="0.3"/>
  <cols>
    <col min="2" max="2" width="53.5546875" customWidth="1"/>
    <col min="18" max="18" width="1.88671875" customWidth="1"/>
    <col min="19" max="20" width="8.88671875" hidden="1" customWidth="1"/>
    <col min="21" max="22" width="8.88671875" style="1"/>
  </cols>
  <sheetData>
    <row r="1" spans="1:20" x14ac:dyDescent="0.3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</row>
    <row r="2" spans="1:20" ht="30.6" customHeight="1" x14ac:dyDescent="0.3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</row>
    <row r="3" spans="1:20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/>
      <c r="T3" s="4"/>
    </row>
    <row r="4" spans="1:20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/>
      <c r="T4" s="4"/>
    </row>
    <row r="5" spans="1:20" ht="15.6" x14ac:dyDescent="0.3">
      <c r="A5" s="2"/>
      <c r="B5" s="2"/>
      <c r="C5" s="5">
        <v>2023</v>
      </c>
      <c r="D5" s="6">
        <v>45292</v>
      </c>
      <c r="E5" s="6">
        <v>45323</v>
      </c>
      <c r="F5" s="6">
        <v>45352</v>
      </c>
      <c r="G5" s="6">
        <v>45383</v>
      </c>
      <c r="H5" s="6">
        <v>45413</v>
      </c>
      <c r="I5" s="6">
        <v>45444</v>
      </c>
      <c r="J5" s="6">
        <v>45474</v>
      </c>
      <c r="K5" s="6">
        <v>45505</v>
      </c>
      <c r="L5" s="6">
        <v>45536</v>
      </c>
      <c r="M5" s="6">
        <v>45566</v>
      </c>
      <c r="N5" s="6">
        <v>45620</v>
      </c>
      <c r="O5" s="6">
        <v>45650</v>
      </c>
      <c r="P5" s="7"/>
      <c r="Q5" s="7"/>
      <c r="R5" s="2"/>
      <c r="S5" s="3"/>
      <c r="T5" s="4"/>
    </row>
    <row r="6" spans="1:20" ht="15.6" x14ac:dyDescent="0.3">
      <c r="A6" s="2"/>
      <c r="B6" s="8" t="s">
        <v>1</v>
      </c>
      <c r="C6" s="9">
        <v>101</v>
      </c>
      <c r="D6" s="9">
        <v>295</v>
      </c>
      <c r="E6" s="9">
        <v>43</v>
      </c>
      <c r="F6" s="9">
        <v>43</v>
      </c>
      <c r="G6" s="9">
        <v>62</v>
      </c>
      <c r="H6" s="9">
        <v>456</v>
      </c>
      <c r="I6" s="9">
        <v>2492</v>
      </c>
      <c r="J6" s="9">
        <v>975</v>
      </c>
      <c r="K6" s="9">
        <v>739</v>
      </c>
      <c r="L6" s="9">
        <v>708</v>
      </c>
      <c r="M6" s="9">
        <v>616</v>
      </c>
      <c r="N6" s="9">
        <v>516</v>
      </c>
      <c r="O6" s="9">
        <v>503</v>
      </c>
      <c r="P6" s="10"/>
      <c r="Q6" s="10"/>
      <c r="R6" s="2"/>
      <c r="S6" s="3"/>
      <c r="T6" s="4"/>
    </row>
    <row r="7" spans="1:20" ht="15.6" x14ac:dyDescent="0.3">
      <c r="A7" s="2"/>
      <c r="B7" s="8" t="s">
        <v>2</v>
      </c>
      <c r="C7" s="9">
        <v>65</v>
      </c>
      <c r="D7" s="9">
        <v>55</v>
      </c>
      <c r="E7" s="9">
        <v>84</v>
      </c>
      <c r="F7" s="9">
        <v>74</v>
      </c>
      <c r="G7" s="9">
        <v>109</v>
      </c>
      <c r="H7" s="9">
        <v>218</v>
      </c>
      <c r="I7" s="9">
        <v>218</v>
      </c>
      <c r="J7" s="9">
        <v>218</v>
      </c>
      <c r="K7" s="9">
        <v>450</v>
      </c>
      <c r="L7" s="9">
        <v>450</v>
      </c>
      <c r="M7" s="9">
        <v>437</v>
      </c>
      <c r="N7" s="9">
        <v>317</v>
      </c>
      <c r="O7" s="9">
        <v>306</v>
      </c>
      <c r="P7" s="10"/>
      <c r="Q7" s="10"/>
      <c r="R7" s="2"/>
      <c r="S7" s="3"/>
      <c r="T7" s="4"/>
    </row>
    <row r="8" spans="1:20" ht="15.6" x14ac:dyDescent="0.3">
      <c r="A8" s="2"/>
      <c r="B8" s="8" t="s">
        <v>3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4</v>
      </c>
      <c r="L8" s="9">
        <v>2</v>
      </c>
      <c r="M8" s="9">
        <v>2</v>
      </c>
      <c r="N8" s="9">
        <v>2</v>
      </c>
      <c r="O8" s="9">
        <v>0</v>
      </c>
      <c r="P8" s="10"/>
      <c r="Q8" s="10"/>
      <c r="R8" s="2"/>
      <c r="S8" s="3"/>
      <c r="T8" s="4"/>
    </row>
    <row r="9" spans="1:20" ht="15.6" x14ac:dyDescent="0.3">
      <c r="A9" s="2"/>
      <c r="B9" s="11" t="s">
        <v>4</v>
      </c>
      <c r="C9" s="9">
        <v>3</v>
      </c>
      <c r="D9" s="9">
        <v>3</v>
      </c>
      <c r="E9" s="9">
        <v>3</v>
      </c>
      <c r="F9" s="9">
        <v>3</v>
      </c>
      <c r="G9" s="9">
        <v>3</v>
      </c>
      <c r="H9" s="9">
        <v>3</v>
      </c>
      <c r="I9" s="9">
        <v>3</v>
      </c>
      <c r="J9" s="9">
        <v>3</v>
      </c>
      <c r="K9" s="9">
        <v>4</v>
      </c>
      <c r="L9" s="9">
        <v>1</v>
      </c>
      <c r="M9" s="9">
        <v>1</v>
      </c>
      <c r="N9" s="9">
        <v>5</v>
      </c>
      <c r="O9" s="9">
        <v>3</v>
      </c>
      <c r="P9" s="10"/>
      <c r="Q9" s="10"/>
      <c r="R9" s="2"/>
      <c r="S9" s="3"/>
      <c r="T9" s="4"/>
    </row>
    <row r="10" spans="1:20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3"/>
      <c r="T10" s="4"/>
    </row>
    <row r="11" spans="1:20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3"/>
      <c r="T11" s="4"/>
    </row>
    <row r="12" spans="1:20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3"/>
      <c r="T12" s="4"/>
    </row>
    <row r="13" spans="1:20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3"/>
      <c r="T13" s="4"/>
    </row>
    <row r="14" spans="1:20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3"/>
      <c r="T14" s="4"/>
    </row>
    <row r="15" spans="1:20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3"/>
      <c r="T15" s="4"/>
    </row>
    <row r="16" spans="1:20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3"/>
      <c r="T16" s="4"/>
    </row>
    <row r="17" spans="1:20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3"/>
      <c r="T17" s="4"/>
    </row>
    <row r="18" spans="1:20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3"/>
      <c r="T18" s="4"/>
    </row>
    <row r="19" spans="1:20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3"/>
      <c r="T19" s="4"/>
    </row>
    <row r="20" spans="1:20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3"/>
      <c r="T20" s="4"/>
    </row>
    <row r="21" spans="1:20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3"/>
      <c r="T21" s="4"/>
    </row>
    <row r="22" spans="1:20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3"/>
      <c r="T22" s="4"/>
    </row>
    <row r="23" spans="1:20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3"/>
      <c r="T23" s="4"/>
    </row>
    <row r="24" spans="1:20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3"/>
      <c r="T24" s="4"/>
    </row>
    <row r="25" spans="1:20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3"/>
      <c r="T25" s="4"/>
    </row>
    <row r="26" spans="1:20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3"/>
      <c r="T26" s="4"/>
    </row>
    <row r="27" spans="1:20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3"/>
      <c r="T27" s="4"/>
    </row>
    <row r="28" spans="1:20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3"/>
      <c r="T28" s="4"/>
    </row>
    <row r="29" spans="1:20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3"/>
      <c r="T29" s="4"/>
    </row>
    <row r="30" spans="1:20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3"/>
      <c r="T30" s="4"/>
    </row>
    <row r="31" spans="1:20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3"/>
      <c r="T31" s="4"/>
    </row>
    <row r="32" spans="1:20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3"/>
      <c r="T32" s="4"/>
    </row>
    <row r="33" spans="1:20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3"/>
      <c r="T33" s="4"/>
    </row>
    <row r="34" spans="1:20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3"/>
      <c r="T34" s="4"/>
    </row>
    <row r="35" spans="1:20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3"/>
      <c r="T35" s="4"/>
    </row>
    <row r="36" spans="1:20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3"/>
      <c r="T36" s="4"/>
    </row>
    <row r="37" spans="1:20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3"/>
      <c r="T37" s="4"/>
    </row>
    <row r="38" spans="1:20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3"/>
      <c r="T38" s="4"/>
    </row>
    <row r="39" spans="1:20" s="1" customForma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3"/>
      <c r="T39" s="4"/>
    </row>
    <row r="40" spans="1:20" s="1" customForma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3"/>
      <c r="T40" s="4"/>
    </row>
    <row r="41" spans="1:20" s="1" customForma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4"/>
    </row>
    <row r="42" spans="1:20" s="1" customForma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4"/>
    </row>
    <row r="43" spans="1:20" s="1" customForma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"/>
      <c r="T43" s="4"/>
    </row>
    <row r="44" spans="1:20" s="1" customForma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"/>
      <c r="T44" s="4"/>
    </row>
    <row r="45" spans="1:20" s="1" customForma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"/>
      <c r="T45" s="4"/>
    </row>
    <row r="46" spans="1:20" s="1" customForma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"/>
      <c r="T46" s="4"/>
    </row>
    <row r="47" spans="1:20" s="1" customForma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3"/>
      <c r="T47" s="4"/>
    </row>
    <row r="48" spans="1:20" s="1" customForma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3"/>
      <c r="T48" s="4"/>
    </row>
    <row r="49" spans="1:20" s="1" customForma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3"/>
      <c r="T49" s="4"/>
    </row>
    <row r="50" spans="1:20" s="1" customForma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3"/>
      <c r="T50" s="4"/>
    </row>
    <row r="51" spans="1:20" s="1" customForma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3"/>
      <c r="T51" s="4"/>
    </row>
    <row r="52" spans="1:20" s="1" customForma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3"/>
      <c r="T52" s="4"/>
    </row>
    <row r="53" spans="1:20" s="1" customForma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3"/>
      <c r="T53" s="4"/>
    </row>
    <row r="54" spans="1:20" s="1" customForma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3"/>
      <c r="T54" s="4"/>
    </row>
    <row r="55" spans="1:20" s="1" customForma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3"/>
      <c r="T55" s="4"/>
    </row>
    <row r="56" spans="1:20" s="1" customForma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3"/>
      <c r="T56" s="4"/>
    </row>
    <row r="57" spans="1:20" s="1" customForma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3"/>
      <c r="T57" s="4"/>
    </row>
    <row r="58" spans="1:20" s="1" customForma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3"/>
      <c r="T58" s="4"/>
    </row>
    <row r="59" spans="1:20" s="1" customForma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3"/>
      <c r="T59" s="4"/>
    </row>
    <row r="60" spans="1:20" s="1" customForma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3"/>
      <c r="T60" s="4"/>
    </row>
    <row r="61" spans="1:20" s="1" customForma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3"/>
      <c r="T61" s="4"/>
    </row>
    <row r="62" spans="1:20" s="1" customForma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3"/>
      <c r="T62" s="4"/>
    </row>
    <row r="63" spans="1:20" s="1" customForma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3"/>
      <c r="T63" s="4"/>
    </row>
    <row r="64" spans="1:20" s="1" customForma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3"/>
      <c r="T64" s="4"/>
    </row>
    <row r="65" spans="1:20" s="1" customForma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3"/>
      <c r="T65" s="4"/>
    </row>
    <row r="66" spans="1:20" s="1" customForma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3"/>
      <c r="T66" s="4"/>
    </row>
    <row r="67" spans="1:20" s="1" customForma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3"/>
      <c r="T67" s="4"/>
    </row>
    <row r="68" spans="1:20" s="1" customForma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3"/>
      <c r="T68" s="4"/>
    </row>
    <row r="69" spans="1:20" s="1" customForma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3"/>
      <c r="T69" s="4"/>
    </row>
    <row r="70" spans="1:20" s="1" customForma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3"/>
      <c r="T70" s="4"/>
    </row>
    <row r="71" spans="1:20" s="1" customForma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3"/>
      <c r="T71" s="4"/>
    </row>
    <row r="72" spans="1:20" s="1" customForma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3"/>
      <c r="T72" s="4"/>
    </row>
    <row r="73" spans="1:20" s="1" customForma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3"/>
      <c r="T73" s="4"/>
    </row>
    <row r="74" spans="1:20" s="1" customForma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3"/>
      <c r="T74" s="4"/>
    </row>
    <row r="75" spans="1:20" s="1" customForma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3"/>
      <c r="T75" s="4"/>
    </row>
    <row r="76" spans="1:20" s="1" customForma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3"/>
      <c r="T76" s="4"/>
    </row>
    <row r="77" spans="1:20" s="1" customForma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3"/>
      <c r="T77" s="4"/>
    </row>
    <row r="78" spans="1:20" s="1" customForma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3"/>
      <c r="T78" s="4"/>
    </row>
    <row r="79" spans="1:20" s="1" customForma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3"/>
      <c r="T79" s="4"/>
    </row>
    <row r="80" spans="1:20" s="1" customForma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3"/>
      <c r="T80" s="4"/>
    </row>
    <row r="81" spans="1:20" s="1" customForma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3"/>
      <c r="T81" s="4"/>
    </row>
    <row r="82" spans="1:20" s="1" customForma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3"/>
      <c r="T82" s="4"/>
    </row>
    <row r="83" spans="1:20" s="1" customForma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3"/>
      <c r="T83" s="4"/>
    </row>
    <row r="84" spans="1:20" s="1" customForma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3"/>
      <c r="T84" s="4"/>
    </row>
    <row r="85" spans="1:20" s="1" customForma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3"/>
      <c r="T85" s="4"/>
    </row>
    <row r="86" spans="1:20" s="1" customForma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3"/>
      <c r="T86" s="4"/>
    </row>
    <row r="87" spans="1:20" s="1" customForma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3"/>
      <c r="T87" s="4"/>
    </row>
    <row r="88" spans="1:20" s="1" customForma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3"/>
      <c r="T88" s="4"/>
    </row>
    <row r="89" spans="1:20" s="1" customForma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3"/>
      <c r="T89" s="4"/>
    </row>
    <row r="90" spans="1:20" s="1" customForma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3"/>
      <c r="T90" s="4"/>
    </row>
    <row r="91" spans="1:20" s="1" customForma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3"/>
      <c r="T91" s="4"/>
    </row>
    <row r="92" spans="1:20" s="1" customForma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3"/>
      <c r="T92" s="4"/>
    </row>
    <row r="93" spans="1:20" s="1" customForma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3"/>
      <c r="T93" s="4"/>
    </row>
    <row r="94" spans="1:20" s="1" customForma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3"/>
      <c r="T94" s="4"/>
    </row>
    <row r="95" spans="1:20" s="1" customForma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3"/>
      <c r="T95" s="4"/>
    </row>
    <row r="96" spans="1:20" s="1" customForma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3"/>
      <c r="T96" s="4"/>
    </row>
    <row r="97" spans="1:20" s="1" customForma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3"/>
      <c r="T97" s="4"/>
    </row>
    <row r="98" spans="1:20" s="1" customForma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3"/>
      <c r="T98" s="4"/>
    </row>
    <row r="99" spans="1:20" s="1" customForma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3"/>
      <c r="T99" s="4"/>
    </row>
    <row r="100" spans="1:20" s="1" customForma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3"/>
      <c r="T100" s="4"/>
    </row>
    <row r="101" spans="1:20" s="1" customForma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3"/>
      <c r="T101" s="4"/>
    </row>
    <row r="102" spans="1:20" s="1" customForma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3"/>
      <c r="T102" s="4"/>
    </row>
    <row r="103" spans="1:20" s="1" customForma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3"/>
      <c r="T103" s="4"/>
    </row>
    <row r="104" spans="1:20" s="1" customForma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3"/>
      <c r="T104" s="4"/>
    </row>
    <row r="105" spans="1:20" s="1" customForma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3"/>
      <c r="T105" s="4"/>
    </row>
    <row r="106" spans="1:20" s="1" customForma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3"/>
      <c r="T106" s="4"/>
    </row>
    <row r="107" spans="1:20" s="1" customForma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3"/>
      <c r="T107" s="4"/>
    </row>
    <row r="108" spans="1:20" s="1" customForma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3"/>
      <c r="T108" s="4"/>
    </row>
    <row r="109" spans="1:20" s="1" customForma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3"/>
      <c r="T109" s="4"/>
    </row>
    <row r="110" spans="1:20" s="1" customForma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13"/>
      <c r="T110" s="14"/>
    </row>
    <row r="111" spans="1:20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20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1:18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1:18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8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spans="1:18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1:18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spans="1:18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</sheetData>
  <mergeCells count="1">
    <mergeCell ref="A1:T2"/>
  </mergeCells>
  <conditionalFormatting sqref="C6:Q9">
    <cfRule type="cellIs" dxfId="4" priority="1" operator="greaterThan">
      <formula>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6667-73F8-405B-A6CB-74445BD114BA}">
  <dimension ref="A1:V127"/>
  <sheetViews>
    <sheetView zoomScale="70" zoomScaleNormal="70" workbookViewId="0">
      <selection activeCell="AA13" sqref="AA13"/>
    </sheetView>
  </sheetViews>
  <sheetFormatPr defaultRowHeight="14.4" x14ac:dyDescent="0.3"/>
  <cols>
    <col min="2" max="2" width="53.5546875" customWidth="1"/>
    <col min="18" max="18" width="1.88671875" customWidth="1"/>
    <col min="19" max="20" width="8.88671875" hidden="1" customWidth="1"/>
    <col min="21" max="22" width="8.88671875" style="1"/>
  </cols>
  <sheetData>
    <row r="1" spans="1:20" x14ac:dyDescent="0.3">
      <c r="A1" s="33" t="s">
        <v>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</row>
    <row r="2" spans="1:20" ht="30.6" customHeight="1" x14ac:dyDescent="0.3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</row>
    <row r="3" spans="1:20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/>
      <c r="T3" s="4"/>
    </row>
    <row r="4" spans="1:20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/>
      <c r="T4" s="4"/>
    </row>
    <row r="5" spans="1:20" ht="15.6" x14ac:dyDescent="0.3">
      <c r="A5" s="2"/>
      <c r="B5" s="2"/>
      <c r="C5" s="5">
        <v>2023</v>
      </c>
      <c r="D5" s="6">
        <v>45292</v>
      </c>
      <c r="E5" s="6">
        <v>45323</v>
      </c>
      <c r="F5" s="6">
        <v>45352</v>
      </c>
      <c r="G5" s="6">
        <v>45383</v>
      </c>
      <c r="H5" s="6">
        <v>45413</v>
      </c>
      <c r="I5" s="6">
        <v>45444</v>
      </c>
      <c r="J5" s="6">
        <v>45474</v>
      </c>
      <c r="K5" s="6">
        <v>45505</v>
      </c>
      <c r="L5" s="6">
        <v>45536</v>
      </c>
      <c r="M5" s="6">
        <v>45566</v>
      </c>
      <c r="N5" s="6">
        <v>45620</v>
      </c>
      <c r="O5" s="6">
        <v>45650</v>
      </c>
      <c r="P5" s="7"/>
      <c r="Q5" s="7"/>
      <c r="R5" s="2"/>
      <c r="S5" s="3"/>
      <c r="T5" s="4"/>
    </row>
    <row r="6" spans="1:20" ht="15.6" x14ac:dyDescent="0.3">
      <c r="A6" s="2"/>
      <c r="B6" s="8" t="s">
        <v>1</v>
      </c>
      <c r="C6" s="9">
        <v>0</v>
      </c>
      <c r="D6" s="9">
        <v>0</v>
      </c>
      <c r="E6" s="9">
        <v>0</v>
      </c>
      <c r="F6" s="9">
        <v>1</v>
      </c>
      <c r="G6" s="9">
        <v>6</v>
      </c>
      <c r="H6" s="9">
        <v>7</v>
      </c>
      <c r="I6" s="9">
        <v>6</v>
      </c>
      <c r="J6" s="9">
        <v>6</v>
      </c>
      <c r="K6" s="9">
        <v>5</v>
      </c>
      <c r="L6" s="9">
        <v>9</v>
      </c>
      <c r="M6" s="9">
        <v>3</v>
      </c>
      <c r="N6" s="9">
        <v>1</v>
      </c>
      <c r="O6" s="9">
        <v>1</v>
      </c>
      <c r="P6" s="10"/>
      <c r="Q6" s="10"/>
      <c r="R6" s="2"/>
      <c r="S6" s="3"/>
      <c r="T6" s="4"/>
    </row>
    <row r="7" spans="1:20" ht="15.6" x14ac:dyDescent="0.3">
      <c r="A7" s="2"/>
      <c r="B7" s="8" t="s">
        <v>2</v>
      </c>
      <c r="C7" s="9">
        <v>16</v>
      </c>
      <c r="D7" s="9">
        <v>16</v>
      </c>
      <c r="E7" s="9">
        <v>16</v>
      </c>
      <c r="F7" s="9">
        <v>16</v>
      </c>
      <c r="G7" s="9">
        <v>10</v>
      </c>
      <c r="H7" s="9">
        <v>10</v>
      </c>
      <c r="I7" s="9">
        <v>10</v>
      </c>
      <c r="J7" s="9">
        <v>10</v>
      </c>
      <c r="K7" s="9">
        <v>8</v>
      </c>
      <c r="L7" s="9">
        <v>8</v>
      </c>
      <c r="M7" s="9">
        <v>8</v>
      </c>
      <c r="N7" s="9">
        <v>8</v>
      </c>
      <c r="O7" s="9">
        <v>8</v>
      </c>
      <c r="P7" s="10"/>
      <c r="Q7" s="10"/>
      <c r="R7" s="2"/>
      <c r="S7" s="3"/>
      <c r="T7" s="4"/>
    </row>
    <row r="8" spans="1:20" ht="15.6" x14ac:dyDescent="0.3">
      <c r="A8" s="2"/>
      <c r="B8" s="8" t="s">
        <v>3</v>
      </c>
      <c r="C8" s="9">
        <v>1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4</v>
      </c>
      <c r="J8" s="9">
        <v>4</v>
      </c>
      <c r="K8" s="9">
        <v>4</v>
      </c>
      <c r="L8" s="9">
        <v>4</v>
      </c>
      <c r="M8" s="9">
        <v>4</v>
      </c>
      <c r="N8" s="9">
        <v>1</v>
      </c>
      <c r="O8" s="9">
        <v>0</v>
      </c>
      <c r="P8" s="10"/>
      <c r="Q8" s="10"/>
      <c r="R8" s="2"/>
      <c r="S8" s="3"/>
      <c r="T8" s="4"/>
    </row>
    <row r="9" spans="1:20" ht="15.6" x14ac:dyDescent="0.3">
      <c r="A9" s="2"/>
      <c r="B9" s="11" t="s">
        <v>4</v>
      </c>
      <c r="C9" s="9">
        <v>1</v>
      </c>
      <c r="D9" s="9">
        <v>1</v>
      </c>
      <c r="E9" s="9">
        <v>1</v>
      </c>
      <c r="F9" s="9">
        <v>1</v>
      </c>
      <c r="G9" s="9">
        <v>1</v>
      </c>
      <c r="H9" s="9">
        <v>1</v>
      </c>
      <c r="I9" s="9">
        <v>1</v>
      </c>
      <c r="J9" s="9">
        <v>1</v>
      </c>
      <c r="K9" s="9">
        <v>0</v>
      </c>
      <c r="L9" s="9">
        <v>0</v>
      </c>
      <c r="M9" s="9">
        <v>0</v>
      </c>
      <c r="N9" s="9">
        <v>1</v>
      </c>
      <c r="O9" s="9">
        <v>1</v>
      </c>
      <c r="P9" s="10"/>
      <c r="Q9" s="10"/>
      <c r="R9" s="2"/>
      <c r="S9" s="3"/>
      <c r="T9" s="4"/>
    </row>
    <row r="10" spans="1:20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3"/>
      <c r="T10" s="4"/>
    </row>
    <row r="11" spans="1:20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3"/>
      <c r="T11" s="4"/>
    </row>
    <row r="12" spans="1:20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3"/>
      <c r="T12" s="4"/>
    </row>
    <row r="13" spans="1:20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3"/>
      <c r="T13" s="4"/>
    </row>
    <row r="14" spans="1:20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3"/>
      <c r="T14" s="4"/>
    </row>
    <row r="15" spans="1:20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3"/>
      <c r="T15" s="4"/>
    </row>
    <row r="16" spans="1:20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3"/>
      <c r="T16" s="4"/>
    </row>
    <row r="17" spans="1:20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3"/>
      <c r="T17" s="4"/>
    </row>
    <row r="18" spans="1:20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3"/>
      <c r="T18" s="4"/>
    </row>
    <row r="19" spans="1:20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3"/>
      <c r="T19" s="4"/>
    </row>
    <row r="20" spans="1:20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3"/>
      <c r="T20" s="4"/>
    </row>
    <row r="21" spans="1:20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3"/>
      <c r="T21" s="4"/>
    </row>
    <row r="22" spans="1:20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3"/>
      <c r="T22" s="4"/>
    </row>
    <row r="23" spans="1:20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3"/>
      <c r="T23" s="4"/>
    </row>
    <row r="24" spans="1:20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3"/>
      <c r="T24" s="4"/>
    </row>
    <row r="25" spans="1:20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3"/>
      <c r="T25" s="4"/>
    </row>
    <row r="26" spans="1:20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3"/>
      <c r="T26" s="4"/>
    </row>
    <row r="27" spans="1:20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3"/>
      <c r="T27" s="4"/>
    </row>
    <row r="28" spans="1:20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3"/>
      <c r="T28" s="4"/>
    </row>
    <row r="29" spans="1:20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3"/>
      <c r="T29" s="4"/>
    </row>
    <row r="30" spans="1:20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3"/>
      <c r="T30" s="4"/>
    </row>
    <row r="31" spans="1:20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3"/>
      <c r="T31" s="4"/>
    </row>
    <row r="32" spans="1:20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3"/>
      <c r="T32" s="4"/>
    </row>
    <row r="33" spans="1:20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3"/>
      <c r="T33" s="4"/>
    </row>
    <row r="34" spans="1:20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3"/>
      <c r="T34" s="4"/>
    </row>
    <row r="35" spans="1:20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3"/>
      <c r="T35" s="4"/>
    </row>
    <row r="36" spans="1:20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3"/>
      <c r="T36" s="4"/>
    </row>
    <row r="37" spans="1:20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3"/>
      <c r="T37" s="4"/>
    </row>
    <row r="38" spans="1:20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3"/>
      <c r="T38" s="4"/>
    </row>
    <row r="39" spans="1:20" s="1" customForma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3"/>
      <c r="T39" s="4"/>
    </row>
    <row r="40" spans="1:20" s="1" customForma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3"/>
      <c r="T40" s="4"/>
    </row>
    <row r="41" spans="1:20" s="1" customForma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4"/>
    </row>
    <row r="42" spans="1:20" s="1" customForma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4"/>
    </row>
    <row r="43" spans="1:20" s="1" customForma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"/>
      <c r="T43" s="4"/>
    </row>
    <row r="44" spans="1:20" s="1" customForma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"/>
      <c r="T44" s="4"/>
    </row>
    <row r="45" spans="1:20" s="1" customForma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"/>
      <c r="T45" s="4"/>
    </row>
    <row r="46" spans="1:20" s="1" customForma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"/>
      <c r="T46" s="4"/>
    </row>
    <row r="47" spans="1:20" s="1" customForma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3"/>
      <c r="T47" s="4"/>
    </row>
    <row r="48" spans="1:20" s="1" customForma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3"/>
      <c r="T48" s="4"/>
    </row>
    <row r="49" spans="1:20" s="1" customForma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3"/>
      <c r="T49" s="4"/>
    </row>
    <row r="50" spans="1:20" s="1" customForma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3"/>
      <c r="T50" s="4"/>
    </row>
    <row r="51" spans="1:20" s="1" customForma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3"/>
      <c r="T51" s="4"/>
    </row>
    <row r="52" spans="1:20" s="1" customForma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3"/>
      <c r="T52" s="4"/>
    </row>
    <row r="53" spans="1:20" s="1" customForma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3"/>
      <c r="T53" s="4"/>
    </row>
    <row r="54" spans="1:20" s="1" customForma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3"/>
      <c r="T54" s="4"/>
    </row>
    <row r="55" spans="1:20" s="1" customForma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3"/>
      <c r="T55" s="4"/>
    </row>
    <row r="56" spans="1:20" s="1" customForma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3"/>
      <c r="T56" s="4"/>
    </row>
    <row r="57" spans="1:20" s="1" customForma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3"/>
      <c r="T57" s="4"/>
    </row>
    <row r="58" spans="1:20" s="1" customForma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3"/>
      <c r="T58" s="4"/>
    </row>
    <row r="59" spans="1:20" s="1" customForma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3"/>
      <c r="T59" s="4"/>
    </row>
    <row r="60" spans="1:20" s="1" customForma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3"/>
      <c r="T60" s="4"/>
    </row>
    <row r="61" spans="1:20" s="1" customForma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3"/>
      <c r="T61" s="4"/>
    </row>
    <row r="62" spans="1:20" s="1" customForma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3"/>
      <c r="T62" s="4"/>
    </row>
    <row r="63" spans="1:20" s="1" customForma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3"/>
      <c r="T63" s="4"/>
    </row>
    <row r="64" spans="1:20" s="1" customForma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3"/>
      <c r="T64" s="4"/>
    </row>
    <row r="65" spans="1:20" s="1" customForma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3"/>
      <c r="T65" s="4"/>
    </row>
    <row r="66" spans="1:20" s="1" customForma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3"/>
      <c r="T66" s="4"/>
    </row>
    <row r="67" spans="1:20" s="1" customForma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3"/>
      <c r="T67" s="4"/>
    </row>
    <row r="68" spans="1:20" s="1" customForma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3"/>
      <c r="T68" s="4"/>
    </row>
    <row r="69" spans="1:20" s="1" customForma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3"/>
      <c r="T69" s="4"/>
    </row>
    <row r="70" spans="1:20" s="1" customForma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3"/>
      <c r="T70" s="4"/>
    </row>
    <row r="71" spans="1:20" s="1" customForma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3"/>
      <c r="T71" s="4"/>
    </row>
    <row r="72" spans="1:20" s="1" customForma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3"/>
      <c r="T72" s="4"/>
    </row>
    <row r="73" spans="1:20" s="1" customForma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3"/>
      <c r="T73" s="4"/>
    </row>
    <row r="74" spans="1:20" s="1" customForma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3"/>
      <c r="T74" s="4"/>
    </row>
    <row r="75" spans="1:20" s="1" customForma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3"/>
      <c r="T75" s="4"/>
    </row>
    <row r="76" spans="1:20" s="1" customForma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3"/>
      <c r="T76" s="4"/>
    </row>
    <row r="77" spans="1:20" s="1" customForma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3"/>
      <c r="T77" s="4"/>
    </row>
    <row r="78" spans="1:20" s="1" customForma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3"/>
      <c r="T78" s="4"/>
    </row>
    <row r="79" spans="1:20" s="1" customForma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3"/>
      <c r="T79" s="4"/>
    </row>
    <row r="80" spans="1:20" s="1" customForma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3"/>
      <c r="T80" s="4"/>
    </row>
    <row r="81" spans="1:20" s="1" customForma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3"/>
      <c r="T81" s="4"/>
    </row>
    <row r="82" spans="1:20" s="1" customForma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3"/>
      <c r="T82" s="4"/>
    </row>
    <row r="83" spans="1:20" s="1" customForma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3"/>
      <c r="T83" s="4"/>
    </row>
    <row r="84" spans="1:20" s="1" customForma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3"/>
      <c r="T84" s="4"/>
    </row>
    <row r="85" spans="1:20" s="1" customForma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3"/>
      <c r="T85" s="4"/>
    </row>
    <row r="86" spans="1:20" s="1" customForma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3"/>
      <c r="T86" s="4"/>
    </row>
    <row r="87" spans="1:20" s="1" customForma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3"/>
      <c r="T87" s="4"/>
    </row>
    <row r="88" spans="1:20" s="1" customForma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3"/>
      <c r="T88" s="4"/>
    </row>
    <row r="89" spans="1:20" s="1" customForma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3"/>
      <c r="T89" s="4"/>
    </row>
    <row r="90" spans="1:20" s="1" customForma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3"/>
      <c r="T90" s="4"/>
    </row>
    <row r="91" spans="1:20" s="1" customForma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3"/>
      <c r="T91" s="4"/>
    </row>
    <row r="92" spans="1:20" s="1" customForma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3"/>
      <c r="T92" s="4"/>
    </row>
    <row r="93" spans="1:20" s="1" customForma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3"/>
      <c r="T93" s="4"/>
    </row>
    <row r="94" spans="1:20" s="1" customForma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3"/>
      <c r="T94" s="4"/>
    </row>
    <row r="95" spans="1:20" s="1" customForma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3"/>
      <c r="T95" s="4"/>
    </row>
    <row r="96" spans="1:20" s="1" customForma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3"/>
      <c r="T96" s="4"/>
    </row>
    <row r="97" spans="1:20" s="1" customForma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3"/>
      <c r="T97" s="4"/>
    </row>
    <row r="98" spans="1:20" s="1" customForma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3"/>
      <c r="T98" s="4"/>
    </row>
    <row r="99" spans="1:20" s="1" customForma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3"/>
      <c r="T99" s="4"/>
    </row>
    <row r="100" spans="1:20" s="1" customForma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3"/>
      <c r="T100" s="4"/>
    </row>
    <row r="101" spans="1:20" s="1" customForma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3"/>
      <c r="T101" s="4"/>
    </row>
    <row r="102" spans="1:20" s="1" customForma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3"/>
      <c r="T102" s="4"/>
    </row>
    <row r="103" spans="1:20" s="1" customForma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3"/>
      <c r="T103" s="4"/>
    </row>
    <row r="104" spans="1:20" s="1" customForma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3"/>
      <c r="T104" s="4"/>
    </row>
    <row r="105" spans="1:20" s="1" customForma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3"/>
      <c r="T105" s="4"/>
    </row>
    <row r="106" spans="1:20" s="1" customForma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3"/>
      <c r="T106" s="4"/>
    </row>
    <row r="107" spans="1:20" s="1" customForma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3"/>
      <c r="T107" s="4"/>
    </row>
    <row r="108" spans="1:20" s="1" customForma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3"/>
      <c r="T108" s="4"/>
    </row>
    <row r="109" spans="1:20" s="1" customForma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3"/>
      <c r="T109" s="4"/>
    </row>
    <row r="110" spans="1:20" s="1" customForma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13"/>
      <c r="T110" s="14"/>
    </row>
    <row r="111" spans="1:20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20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1:18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1:18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8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spans="1:18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1:18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spans="1:18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</sheetData>
  <mergeCells count="1">
    <mergeCell ref="A1:T2"/>
  </mergeCells>
  <conditionalFormatting sqref="C6:Q9">
    <cfRule type="cellIs" dxfId="3" priority="1" operator="greaterThan">
      <formula>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EC724-F922-4D4D-8567-2F68A04FA93B}">
  <dimension ref="A1:V122"/>
  <sheetViews>
    <sheetView topLeftCell="A14" zoomScale="68" zoomScaleNormal="68" workbookViewId="0">
      <selection activeCell="V8" sqref="V8"/>
    </sheetView>
  </sheetViews>
  <sheetFormatPr defaultRowHeight="14.4" x14ac:dyDescent="0.3"/>
  <cols>
    <col min="2" max="2" width="53.5546875" customWidth="1"/>
    <col min="18" max="18" width="1.88671875" customWidth="1"/>
    <col min="19" max="20" width="8.88671875" hidden="1" customWidth="1"/>
    <col min="21" max="22" width="8.88671875" style="1"/>
  </cols>
  <sheetData>
    <row r="1" spans="1:20" x14ac:dyDescent="0.3">
      <c r="A1" s="33" t="s">
        <v>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</row>
    <row r="2" spans="1:20" ht="30.6" customHeight="1" x14ac:dyDescent="0.3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</row>
    <row r="3" spans="1:20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/>
      <c r="T3" s="4"/>
    </row>
    <row r="4" spans="1:20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/>
      <c r="T4" s="4"/>
    </row>
    <row r="5" spans="1:20" ht="15.6" x14ac:dyDescent="0.3">
      <c r="A5" s="2"/>
      <c r="B5" s="2"/>
      <c r="C5" s="5">
        <v>2023</v>
      </c>
      <c r="D5" s="6">
        <v>45292</v>
      </c>
      <c r="E5" s="6">
        <v>45323</v>
      </c>
      <c r="F5" s="6">
        <v>45352</v>
      </c>
      <c r="G5" s="6">
        <v>45383</v>
      </c>
      <c r="H5" s="6">
        <v>45413</v>
      </c>
      <c r="I5" s="6">
        <v>45444</v>
      </c>
      <c r="J5" s="6">
        <v>45474</v>
      </c>
      <c r="K5" s="6">
        <v>45505</v>
      </c>
      <c r="L5" s="6">
        <v>45536</v>
      </c>
      <c r="M5" s="6">
        <v>45566</v>
      </c>
      <c r="N5" s="6">
        <v>45620</v>
      </c>
      <c r="O5" s="6">
        <v>45650</v>
      </c>
      <c r="P5" s="7"/>
      <c r="Q5" s="7"/>
      <c r="R5" s="2"/>
      <c r="S5" s="3"/>
      <c r="T5" s="4"/>
    </row>
    <row r="6" spans="1:20" ht="15.6" x14ac:dyDescent="0.3">
      <c r="A6" s="2"/>
      <c r="B6" s="8" t="s">
        <v>1</v>
      </c>
      <c r="C6" s="9">
        <v>2</v>
      </c>
      <c r="D6" s="9">
        <v>2</v>
      </c>
      <c r="E6" s="9">
        <v>0</v>
      </c>
      <c r="F6" s="9">
        <v>0</v>
      </c>
      <c r="G6" s="9">
        <v>5</v>
      </c>
      <c r="H6" s="9">
        <v>4</v>
      </c>
      <c r="I6" s="9">
        <v>3</v>
      </c>
      <c r="J6" s="9">
        <v>3</v>
      </c>
      <c r="K6" s="9">
        <v>8</v>
      </c>
      <c r="L6" s="9">
        <v>4</v>
      </c>
      <c r="M6" s="9">
        <v>4</v>
      </c>
      <c r="N6" s="9" t="s">
        <v>7</v>
      </c>
      <c r="O6" s="9" t="s">
        <v>7</v>
      </c>
      <c r="P6" s="10"/>
      <c r="Q6" s="10"/>
      <c r="R6" s="2"/>
      <c r="S6" s="3"/>
      <c r="T6" s="4"/>
    </row>
    <row r="7" spans="1:20" ht="15.6" x14ac:dyDescent="0.3">
      <c r="A7" s="2"/>
      <c r="B7" s="8" t="s">
        <v>2</v>
      </c>
      <c r="C7" s="9">
        <v>22</v>
      </c>
      <c r="D7" s="9">
        <v>22</v>
      </c>
      <c r="E7" s="9">
        <v>27</v>
      </c>
      <c r="F7" s="9">
        <v>27</v>
      </c>
      <c r="G7" s="9">
        <v>23</v>
      </c>
      <c r="H7" s="9">
        <v>23</v>
      </c>
      <c r="I7" s="9">
        <v>23</v>
      </c>
      <c r="J7" s="9">
        <v>23</v>
      </c>
      <c r="K7" s="9">
        <v>14</v>
      </c>
      <c r="L7" s="9">
        <v>14</v>
      </c>
      <c r="M7" s="9">
        <v>14</v>
      </c>
      <c r="N7" s="9" t="s">
        <v>7</v>
      </c>
      <c r="O7" s="9" t="s">
        <v>7</v>
      </c>
      <c r="P7" s="10"/>
      <c r="Q7" s="10"/>
      <c r="R7" s="2"/>
      <c r="S7" s="3"/>
      <c r="T7" s="4"/>
    </row>
    <row r="8" spans="1:20" ht="15.6" x14ac:dyDescent="0.3">
      <c r="A8" s="2"/>
      <c r="B8" s="8" t="s">
        <v>3</v>
      </c>
      <c r="C8" s="9">
        <v>1</v>
      </c>
      <c r="D8" s="9">
        <v>0</v>
      </c>
      <c r="E8" s="9">
        <v>0</v>
      </c>
      <c r="F8" s="9">
        <v>0</v>
      </c>
      <c r="G8" s="9">
        <v>1</v>
      </c>
      <c r="H8" s="9">
        <v>1</v>
      </c>
      <c r="I8" s="9">
        <v>7</v>
      </c>
      <c r="J8" s="9">
        <v>7</v>
      </c>
      <c r="K8" s="9">
        <v>9</v>
      </c>
      <c r="L8" s="9">
        <v>8</v>
      </c>
      <c r="M8" s="9">
        <v>9</v>
      </c>
      <c r="N8" s="9" t="s">
        <v>7</v>
      </c>
      <c r="O8" s="9" t="s">
        <v>7</v>
      </c>
      <c r="P8" s="10"/>
      <c r="Q8" s="10"/>
      <c r="R8" s="2"/>
      <c r="S8" s="3"/>
      <c r="T8" s="4"/>
    </row>
    <row r="9" spans="1:20" ht="15.6" x14ac:dyDescent="0.3">
      <c r="A9" s="2"/>
      <c r="B9" s="11" t="s">
        <v>4</v>
      </c>
      <c r="C9" s="9">
        <v>3</v>
      </c>
      <c r="D9" s="9">
        <v>3</v>
      </c>
      <c r="E9" s="9">
        <v>3</v>
      </c>
      <c r="F9" s="9">
        <v>3</v>
      </c>
      <c r="G9" s="9">
        <v>3</v>
      </c>
      <c r="H9" s="9">
        <v>3</v>
      </c>
      <c r="I9" s="9">
        <v>3</v>
      </c>
      <c r="J9" s="9">
        <v>3</v>
      </c>
      <c r="K9" s="9">
        <v>4</v>
      </c>
      <c r="L9" s="9">
        <v>1</v>
      </c>
      <c r="M9" s="9">
        <v>1</v>
      </c>
      <c r="N9" s="9" t="s">
        <v>7</v>
      </c>
      <c r="O9" s="9" t="s">
        <v>7</v>
      </c>
      <c r="P9" s="10"/>
      <c r="Q9" s="10"/>
      <c r="R9" s="2"/>
      <c r="S9" s="3"/>
      <c r="T9" s="4"/>
    </row>
    <row r="10" spans="1:20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3"/>
      <c r="T10" s="4"/>
    </row>
    <row r="11" spans="1:20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3"/>
      <c r="T11" s="4"/>
    </row>
    <row r="12" spans="1:20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3"/>
      <c r="T12" s="4"/>
    </row>
    <row r="13" spans="1:20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3"/>
      <c r="T13" s="4"/>
    </row>
    <row r="14" spans="1:20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3"/>
      <c r="T14" s="4"/>
    </row>
    <row r="15" spans="1:20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3"/>
      <c r="T15" s="4"/>
    </row>
    <row r="16" spans="1:20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3"/>
      <c r="T16" s="4"/>
    </row>
    <row r="17" spans="1:20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3"/>
      <c r="T17" s="4"/>
    </row>
    <row r="18" spans="1:20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3"/>
      <c r="T18" s="4"/>
    </row>
    <row r="19" spans="1:20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3"/>
      <c r="T19" s="4"/>
    </row>
    <row r="20" spans="1:20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3"/>
      <c r="T20" s="4"/>
    </row>
    <row r="21" spans="1:20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3"/>
      <c r="T21" s="4"/>
    </row>
    <row r="22" spans="1:20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3"/>
      <c r="T22" s="4"/>
    </row>
    <row r="23" spans="1:20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3"/>
      <c r="T23" s="4"/>
    </row>
    <row r="24" spans="1:20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3"/>
      <c r="T24" s="4"/>
    </row>
    <row r="25" spans="1:20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3"/>
      <c r="T25" s="4"/>
    </row>
    <row r="26" spans="1:20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3"/>
      <c r="T26" s="4"/>
    </row>
    <row r="27" spans="1:20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3"/>
      <c r="T27" s="4"/>
    </row>
    <row r="28" spans="1:20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3"/>
      <c r="T28" s="4"/>
    </row>
    <row r="29" spans="1:20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3"/>
      <c r="T29" s="4"/>
    </row>
    <row r="30" spans="1:20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3"/>
      <c r="T30" s="4"/>
    </row>
    <row r="31" spans="1:20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3"/>
      <c r="T31" s="4"/>
    </row>
    <row r="32" spans="1:20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3"/>
      <c r="T32" s="4"/>
    </row>
    <row r="33" spans="1:20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3"/>
      <c r="T33" s="4"/>
    </row>
    <row r="34" spans="1:20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3"/>
      <c r="T34" s="4"/>
    </row>
    <row r="35" spans="1:20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3"/>
      <c r="T35" s="4"/>
    </row>
    <row r="36" spans="1:20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3"/>
      <c r="T36" s="4"/>
    </row>
    <row r="37" spans="1:20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3"/>
      <c r="T37" s="4"/>
    </row>
    <row r="38" spans="1:20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3"/>
      <c r="T38" s="4"/>
    </row>
    <row r="39" spans="1:20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3"/>
      <c r="T39" s="4"/>
    </row>
    <row r="40" spans="1:20" ht="15.6" x14ac:dyDescent="0.3">
      <c r="A40" s="2"/>
      <c r="B40" s="2"/>
      <c r="C40" s="5">
        <v>2023</v>
      </c>
      <c r="D40" s="6">
        <v>45292</v>
      </c>
      <c r="E40" s="6">
        <v>45323</v>
      </c>
      <c r="F40" s="6">
        <v>45352</v>
      </c>
      <c r="G40" s="6">
        <v>45383</v>
      </c>
      <c r="H40" s="6">
        <v>45413</v>
      </c>
      <c r="I40" s="6">
        <v>45444</v>
      </c>
      <c r="J40" s="6">
        <v>45474</v>
      </c>
      <c r="K40" s="6">
        <v>45505</v>
      </c>
      <c r="L40" s="6">
        <v>45536</v>
      </c>
      <c r="M40" s="6">
        <v>45566</v>
      </c>
      <c r="N40" s="6">
        <v>45620</v>
      </c>
      <c r="O40" s="6">
        <v>45650</v>
      </c>
      <c r="P40" s="2"/>
      <c r="Q40" s="2"/>
      <c r="R40" s="2"/>
      <c r="S40" s="3"/>
      <c r="T40" s="4"/>
    </row>
    <row r="41" spans="1:20" ht="15.6" x14ac:dyDescent="0.3">
      <c r="A41" s="2"/>
      <c r="B41" s="8" t="s">
        <v>1</v>
      </c>
      <c r="C41" s="9">
        <v>0</v>
      </c>
      <c r="D41" s="9">
        <v>0</v>
      </c>
      <c r="E41" s="9">
        <v>0</v>
      </c>
      <c r="F41" s="9">
        <v>1</v>
      </c>
      <c r="G41" s="9">
        <v>6</v>
      </c>
      <c r="H41" s="9">
        <v>7</v>
      </c>
      <c r="I41" s="9">
        <v>6</v>
      </c>
      <c r="J41" s="9">
        <v>6</v>
      </c>
      <c r="K41" s="9">
        <v>5</v>
      </c>
      <c r="L41" s="9">
        <v>9</v>
      </c>
      <c r="M41" s="9">
        <v>3</v>
      </c>
      <c r="N41" s="9" t="s">
        <v>7</v>
      </c>
      <c r="O41" s="9" t="s">
        <v>7</v>
      </c>
      <c r="P41" s="2"/>
      <c r="Q41" s="2"/>
      <c r="R41" s="2"/>
      <c r="S41" s="3"/>
      <c r="T41" s="4"/>
    </row>
    <row r="42" spans="1:20" ht="15.6" x14ac:dyDescent="0.3">
      <c r="A42" s="2"/>
      <c r="B42" s="8" t="s">
        <v>2</v>
      </c>
      <c r="C42" s="9">
        <v>16</v>
      </c>
      <c r="D42" s="9">
        <v>16</v>
      </c>
      <c r="E42" s="9">
        <v>16</v>
      </c>
      <c r="F42" s="9">
        <v>16</v>
      </c>
      <c r="G42" s="9">
        <v>10</v>
      </c>
      <c r="H42" s="9">
        <v>10</v>
      </c>
      <c r="I42" s="9">
        <v>10</v>
      </c>
      <c r="J42" s="9">
        <v>10</v>
      </c>
      <c r="K42" s="9">
        <v>8</v>
      </c>
      <c r="L42" s="9">
        <v>8</v>
      </c>
      <c r="M42" s="9">
        <v>8</v>
      </c>
      <c r="N42" s="9" t="s">
        <v>7</v>
      </c>
      <c r="O42" s="9" t="s">
        <v>7</v>
      </c>
      <c r="P42" s="2"/>
      <c r="Q42" s="2"/>
      <c r="R42" s="2"/>
      <c r="S42" s="3"/>
      <c r="T42" s="4"/>
    </row>
    <row r="43" spans="1:20" ht="15.6" x14ac:dyDescent="0.3">
      <c r="A43" s="2"/>
      <c r="B43" s="8" t="s">
        <v>3</v>
      </c>
      <c r="C43" s="9">
        <v>1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4</v>
      </c>
      <c r="J43" s="9">
        <v>4</v>
      </c>
      <c r="K43" s="9">
        <v>4</v>
      </c>
      <c r="L43" s="9">
        <v>4</v>
      </c>
      <c r="M43" s="9">
        <v>4</v>
      </c>
      <c r="N43" s="9" t="s">
        <v>7</v>
      </c>
      <c r="O43" s="9" t="s">
        <v>7</v>
      </c>
      <c r="P43" s="2"/>
      <c r="Q43" s="2"/>
      <c r="R43" s="2"/>
      <c r="S43" s="3"/>
      <c r="T43" s="4"/>
    </row>
    <row r="44" spans="1:20" ht="15.6" x14ac:dyDescent="0.3">
      <c r="A44" s="2"/>
      <c r="B44" s="11" t="s">
        <v>4</v>
      </c>
      <c r="C44" s="9">
        <v>1</v>
      </c>
      <c r="D44" s="9">
        <v>1</v>
      </c>
      <c r="E44" s="9">
        <v>1</v>
      </c>
      <c r="F44" s="9">
        <v>1</v>
      </c>
      <c r="G44" s="9">
        <v>1</v>
      </c>
      <c r="H44" s="9">
        <v>1</v>
      </c>
      <c r="I44" s="9">
        <v>1</v>
      </c>
      <c r="J44" s="9">
        <v>1</v>
      </c>
      <c r="K44" s="9">
        <v>0</v>
      </c>
      <c r="L44" s="9">
        <v>0</v>
      </c>
      <c r="M44" s="9">
        <v>0</v>
      </c>
      <c r="N44" s="9" t="s">
        <v>7</v>
      </c>
      <c r="O44" s="9" t="s">
        <v>7</v>
      </c>
      <c r="P44" s="2"/>
      <c r="Q44" s="2"/>
      <c r="R44" s="2"/>
      <c r="S44" s="3"/>
      <c r="T44" s="4"/>
    </row>
    <row r="45" spans="1:20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"/>
      <c r="T45" s="4"/>
    </row>
    <row r="46" spans="1:20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"/>
      <c r="T46" s="4"/>
    </row>
    <row r="47" spans="1:20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3"/>
      <c r="T47" s="4"/>
    </row>
    <row r="48" spans="1:20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3"/>
      <c r="T48" s="4"/>
    </row>
    <row r="49" spans="1:20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3"/>
      <c r="T49" s="4"/>
    </row>
    <row r="50" spans="1:20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3"/>
      <c r="T50" s="4"/>
    </row>
    <row r="51" spans="1:20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3"/>
      <c r="T51" s="4"/>
    </row>
    <row r="52" spans="1:20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3"/>
      <c r="T52" s="4"/>
    </row>
    <row r="53" spans="1:20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3"/>
      <c r="T53" s="4"/>
    </row>
    <row r="54" spans="1:20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3"/>
      <c r="T54" s="4"/>
    </row>
    <row r="55" spans="1:20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3"/>
      <c r="T55" s="4"/>
    </row>
    <row r="56" spans="1:20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3"/>
      <c r="T56" s="4"/>
    </row>
    <row r="57" spans="1:20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3"/>
      <c r="T57" s="4"/>
    </row>
    <row r="58" spans="1:20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3"/>
      <c r="T58" s="4"/>
    </row>
    <row r="59" spans="1:20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3"/>
      <c r="T59" s="4"/>
    </row>
    <row r="60" spans="1:20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3"/>
      <c r="T60" s="4"/>
    </row>
    <row r="61" spans="1:20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3"/>
      <c r="T61" s="4"/>
    </row>
    <row r="62" spans="1:20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3"/>
      <c r="T62" s="4"/>
    </row>
    <row r="63" spans="1:20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3"/>
      <c r="T63" s="4"/>
    </row>
    <row r="64" spans="1:20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3"/>
      <c r="T64" s="4"/>
    </row>
    <row r="65" spans="1:20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3"/>
      <c r="T65" s="4"/>
    </row>
    <row r="66" spans="1:20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3"/>
      <c r="T66" s="4"/>
    </row>
    <row r="67" spans="1:20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3"/>
      <c r="T67" s="4"/>
    </row>
    <row r="68" spans="1:20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3"/>
      <c r="T68" s="4"/>
    </row>
    <row r="69" spans="1:20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3"/>
      <c r="T69" s="4"/>
    </row>
    <row r="70" spans="1:20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3"/>
      <c r="T70" s="4"/>
    </row>
    <row r="71" spans="1:20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3"/>
      <c r="T71" s="4"/>
    </row>
    <row r="72" spans="1:20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3"/>
      <c r="T72" s="4"/>
    </row>
    <row r="73" spans="1:20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3"/>
      <c r="T73" s="4"/>
    </row>
    <row r="74" spans="1:20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3"/>
      <c r="T74" s="4"/>
    </row>
    <row r="75" spans="1:20" ht="15.6" x14ac:dyDescent="0.3">
      <c r="A75" s="2"/>
      <c r="B75" s="2"/>
      <c r="C75" s="5">
        <v>2023</v>
      </c>
      <c r="D75" s="6">
        <v>45292</v>
      </c>
      <c r="E75" s="6">
        <v>45323</v>
      </c>
      <c r="F75" s="6">
        <v>45352</v>
      </c>
      <c r="G75" s="6">
        <v>45383</v>
      </c>
      <c r="H75" s="6">
        <v>45413</v>
      </c>
      <c r="I75" s="6">
        <v>45444</v>
      </c>
      <c r="J75" s="6">
        <v>45474</v>
      </c>
      <c r="K75" s="6">
        <v>45505</v>
      </c>
      <c r="L75" s="6">
        <v>45536</v>
      </c>
      <c r="M75" s="6">
        <v>45566</v>
      </c>
      <c r="N75" s="6">
        <v>45620</v>
      </c>
      <c r="O75" s="6">
        <v>45650</v>
      </c>
      <c r="P75" s="2"/>
      <c r="Q75" s="2"/>
      <c r="R75" s="2"/>
      <c r="S75" s="3"/>
      <c r="T75" s="4"/>
    </row>
    <row r="76" spans="1:20" ht="15.6" x14ac:dyDescent="0.3">
      <c r="A76" s="2"/>
      <c r="B76" s="8" t="s">
        <v>1</v>
      </c>
      <c r="C76" s="9">
        <v>101</v>
      </c>
      <c r="D76" s="9">
        <v>295</v>
      </c>
      <c r="E76" s="9">
        <v>43</v>
      </c>
      <c r="F76" s="9">
        <v>43</v>
      </c>
      <c r="G76" s="9">
        <v>62</v>
      </c>
      <c r="H76" s="9">
        <v>456</v>
      </c>
      <c r="I76" s="9">
        <v>2492</v>
      </c>
      <c r="J76" s="9">
        <v>975</v>
      </c>
      <c r="K76" s="9">
        <v>739</v>
      </c>
      <c r="L76" s="9">
        <v>708</v>
      </c>
      <c r="M76" s="9">
        <v>616</v>
      </c>
      <c r="N76" s="9" t="s">
        <v>7</v>
      </c>
      <c r="O76" s="9" t="s">
        <v>7</v>
      </c>
      <c r="P76" s="2"/>
      <c r="Q76" s="2"/>
      <c r="R76" s="2"/>
      <c r="S76" s="3"/>
      <c r="T76" s="4"/>
    </row>
    <row r="77" spans="1:20" ht="15.6" x14ac:dyDescent="0.3">
      <c r="A77" s="2"/>
      <c r="B77" s="8" t="s">
        <v>2</v>
      </c>
      <c r="C77" s="9">
        <v>65</v>
      </c>
      <c r="D77" s="9">
        <v>55</v>
      </c>
      <c r="E77" s="9">
        <v>84</v>
      </c>
      <c r="F77" s="9">
        <v>74</v>
      </c>
      <c r="G77" s="9">
        <v>109</v>
      </c>
      <c r="H77" s="9">
        <v>218</v>
      </c>
      <c r="I77" s="9">
        <v>218</v>
      </c>
      <c r="J77" s="9">
        <v>218</v>
      </c>
      <c r="K77" s="9">
        <v>450</v>
      </c>
      <c r="L77" s="9">
        <v>450</v>
      </c>
      <c r="M77" s="9">
        <v>437</v>
      </c>
      <c r="N77" s="9" t="s">
        <v>7</v>
      </c>
      <c r="O77" s="9" t="s">
        <v>7</v>
      </c>
      <c r="P77" s="2"/>
      <c r="Q77" s="2"/>
      <c r="R77" s="2"/>
      <c r="S77" s="3"/>
      <c r="T77" s="4"/>
    </row>
    <row r="78" spans="1:20" ht="15.6" x14ac:dyDescent="0.3">
      <c r="A78" s="2"/>
      <c r="B78" s="8" t="s">
        <v>3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4</v>
      </c>
      <c r="L78" s="9">
        <v>2</v>
      </c>
      <c r="M78" s="9">
        <v>2</v>
      </c>
      <c r="N78" s="9" t="s">
        <v>7</v>
      </c>
      <c r="O78" s="9" t="s">
        <v>7</v>
      </c>
      <c r="P78" s="2"/>
      <c r="Q78" s="2"/>
      <c r="R78" s="2"/>
      <c r="S78" s="3"/>
      <c r="T78" s="4"/>
    </row>
    <row r="79" spans="1:20" ht="15.6" x14ac:dyDescent="0.3">
      <c r="A79" s="2"/>
      <c r="B79" s="11" t="s">
        <v>4</v>
      </c>
      <c r="C79" s="9">
        <v>3</v>
      </c>
      <c r="D79" s="9">
        <v>3</v>
      </c>
      <c r="E79" s="9">
        <v>3</v>
      </c>
      <c r="F79" s="9">
        <v>3</v>
      </c>
      <c r="G79" s="9">
        <v>3</v>
      </c>
      <c r="H79" s="9">
        <v>3</v>
      </c>
      <c r="I79" s="9">
        <v>3</v>
      </c>
      <c r="J79" s="9">
        <v>3</v>
      </c>
      <c r="K79" s="9">
        <v>4</v>
      </c>
      <c r="L79" s="9">
        <v>1</v>
      </c>
      <c r="M79" s="9">
        <v>1</v>
      </c>
      <c r="N79" s="9" t="s">
        <v>7</v>
      </c>
      <c r="O79" s="9" t="s">
        <v>7</v>
      </c>
      <c r="P79" s="2"/>
      <c r="Q79" s="2"/>
      <c r="R79" s="2"/>
      <c r="S79" s="3"/>
      <c r="T79" s="4"/>
    </row>
    <row r="80" spans="1:20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3"/>
      <c r="T80" s="4"/>
    </row>
    <row r="81" spans="1:20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3"/>
      <c r="T81" s="4"/>
    </row>
    <row r="82" spans="1:20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3"/>
      <c r="T82" s="4"/>
    </row>
    <row r="83" spans="1:20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3"/>
      <c r="T83" s="4"/>
    </row>
    <row r="84" spans="1:20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3"/>
      <c r="T84" s="4"/>
    </row>
    <row r="85" spans="1:20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3"/>
      <c r="T85" s="4"/>
    </row>
    <row r="86" spans="1:20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3"/>
      <c r="T86" s="4"/>
    </row>
    <row r="87" spans="1:20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3"/>
      <c r="T87" s="4"/>
    </row>
    <row r="88" spans="1:20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3"/>
      <c r="T88" s="4"/>
    </row>
    <row r="89" spans="1:20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3"/>
      <c r="T89" s="4"/>
    </row>
    <row r="90" spans="1:20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3"/>
      <c r="T90" s="4"/>
    </row>
    <row r="91" spans="1:20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3"/>
      <c r="T91" s="4"/>
    </row>
    <row r="92" spans="1:20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3"/>
      <c r="T92" s="4"/>
    </row>
    <row r="93" spans="1:20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3"/>
      <c r="T93" s="4"/>
    </row>
    <row r="94" spans="1:20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3"/>
      <c r="T94" s="4"/>
    </row>
    <row r="95" spans="1:20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3"/>
      <c r="T95" s="4"/>
    </row>
    <row r="96" spans="1:20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3"/>
      <c r="T96" s="4"/>
    </row>
    <row r="97" spans="1:20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3"/>
      <c r="T97" s="4"/>
    </row>
    <row r="98" spans="1:20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3"/>
      <c r="T98" s="4"/>
    </row>
    <row r="99" spans="1:20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3"/>
      <c r="T99" s="4"/>
    </row>
    <row r="100" spans="1:20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3"/>
      <c r="T100" s="4"/>
    </row>
    <row r="101" spans="1:20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3"/>
      <c r="T101" s="4"/>
    </row>
    <row r="102" spans="1:20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3"/>
      <c r="T102" s="4"/>
    </row>
    <row r="103" spans="1:20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3"/>
      <c r="T103" s="4"/>
    </row>
    <row r="104" spans="1:20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3"/>
      <c r="T104" s="4"/>
    </row>
    <row r="105" spans="1:20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3"/>
      <c r="T105" s="4"/>
    </row>
    <row r="106" spans="1:20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3"/>
      <c r="T106" s="4"/>
    </row>
    <row r="107" spans="1:20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3"/>
      <c r="T107" s="4"/>
    </row>
    <row r="108" spans="1:20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3"/>
      <c r="T108" s="4"/>
    </row>
    <row r="109" spans="1:20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3"/>
      <c r="T109" s="4"/>
    </row>
    <row r="110" spans="1:20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3"/>
      <c r="T110" s="4"/>
    </row>
    <row r="111" spans="1:20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3"/>
      <c r="T111" s="4"/>
    </row>
    <row r="112" spans="1:20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3"/>
      <c r="T112" s="4"/>
    </row>
    <row r="113" spans="1:20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3"/>
      <c r="T113" s="4"/>
    </row>
    <row r="114" spans="1:20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3"/>
      <c r="T114" s="4"/>
    </row>
    <row r="115" spans="1:20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3"/>
      <c r="T115" s="4"/>
    </row>
    <row r="116" spans="1:20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3"/>
      <c r="T116" s="4"/>
    </row>
    <row r="117" spans="1:20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3"/>
      <c r="T117" s="4"/>
    </row>
    <row r="118" spans="1:20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3"/>
      <c r="T118" s="4"/>
    </row>
    <row r="119" spans="1:20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3"/>
      <c r="T119" s="4"/>
    </row>
    <row r="120" spans="1:20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3"/>
      <c r="T120" s="4"/>
    </row>
    <row r="121" spans="1:20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3"/>
      <c r="T121" s="4"/>
    </row>
    <row r="122" spans="1:20" x14ac:dyDescent="0.3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3"/>
      <c r="T122" s="14"/>
    </row>
  </sheetData>
  <mergeCells count="1">
    <mergeCell ref="A1:T2"/>
  </mergeCells>
  <conditionalFormatting sqref="C41:O44">
    <cfRule type="cellIs" dxfId="2" priority="3" operator="greaterThan">
      <formula>0</formula>
    </cfRule>
  </conditionalFormatting>
  <conditionalFormatting sqref="C76:O79">
    <cfRule type="cellIs" dxfId="1" priority="1" operator="greaterThan">
      <formula>0</formula>
    </cfRule>
  </conditionalFormatting>
  <conditionalFormatting sqref="C6:Q9">
    <cfRule type="cellIs" dxfId="0" priority="5" operator="greaterThan">
      <formula>0</formula>
    </cfRule>
  </conditionalFormatting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340ed6a7-0f03-43d9-901d-02d4a7e408aa}" enabled="1" method="Privileged" siteId="{7893571b-6c2c-4cef-b4da-7d4b266a062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Forces (wkly) new</vt:lpstr>
      <vt:lpstr>AFI (wkly)</vt:lpstr>
      <vt:lpstr>TES1</vt:lpstr>
      <vt:lpstr>Forces (wkly)</vt:lpstr>
      <vt:lpstr>Sheet1</vt:lpstr>
      <vt:lpstr>Short Branches (wkly)</vt:lpstr>
      <vt:lpstr>Short Branches (mthly)</vt:lpstr>
      <vt:lpstr>2025 Plan Shortbranches wkly</vt:lpstr>
      <vt:lpstr>2025 Plan forces wkly</vt:lpstr>
      <vt:lpstr>2023-2024 Shortbranches</vt:lpstr>
      <vt:lpstr>2025 Plan AFI's wkly</vt:lpstr>
      <vt:lpstr>2025 Plan AFI's</vt:lpstr>
      <vt:lpstr>2025 Plan Shortbranches </vt:lpstr>
      <vt:lpstr>2025 plan Forces</vt:lpstr>
      <vt:lpstr>Weekly Jumper</vt:lpstr>
      <vt:lpstr>Performance 2024-2025</vt:lpstr>
      <vt:lpstr>AFI (mthly)</vt:lpstr>
      <vt:lpstr>Forces (mthly)</vt:lpstr>
      <vt:lpstr>PP update All Area (New chart)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EZMERALDA CLOUDYANA ROBERT_CONTR</dc:creator>
  <cp:keywords/>
  <dc:description/>
  <cp:lastModifiedBy>EZMERALDA CLOUDYANA ROBERT_CONTR</cp:lastModifiedBy>
  <cp:revision/>
  <cp:lastPrinted>2025-05-23T04:18:49Z</cp:lastPrinted>
  <dcterms:created xsi:type="dcterms:W3CDTF">2024-10-29T13:42:52Z</dcterms:created>
  <dcterms:modified xsi:type="dcterms:W3CDTF">2026-10-08T23:22:35Z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